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KSH\Desktop\"/>
    </mc:Choice>
  </mc:AlternateContent>
  <xr:revisionPtr revIDLastSave="0" documentId="8_{6DF08A3A-0E94-4919-921C-C3747EF7A366}" xr6:coauthVersionLast="47" xr6:coauthVersionMax="47" xr10:uidLastSave="{00000000-0000-0000-0000-000000000000}"/>
  <bookViews>
    <workbookView xWindow="-110" yWindow="-110" windowWidth="19420" windowHeight="10300" tabRatio="760" activeTab="7" xr2:uid="{00000000-000D-0000-FFFF-FFFF00000000}"/>
  </bookViews>
  <sheets>
    <sheet name="Content" sheetId="10" r:id="rId1"/>
    <sheet name="Assumptions" sheetId="5" r:id="rId2"/>
    <sheet name="P&amp;L" sheetId="1" r:id="rId3"/>
    <sheet name="Balance Sheet" sheetId="2" r:id="rId4"/>
    <sheet name="Cash Flow" sheetId="3" r:id="rId5"/>
    <sheet name="Asset schedule" sheetId="8" r:id="rId6"/>
    <sheet name="Equity Schedule" sheetId="7" r:id="rId7"/>
    <sheet name="Valuation" sheetId="12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2" l="1"/>
  <c r="D32" i="12" s="1"/>
  <c r="D29" i="12"/>
  <c r="D28" i="12" s="1"/>
  <c r="H27" i="12"/>
  <c r="I27" i="12" s="1"/>
  <c r="F27" i="12"/>
  <c r="E27" i="12" s="1"/>
  <c r="C15" i="12"/>
  <c r="G33" i="2"/>
  <c r="K5" i="12"/>
  <c r="J5" i="12"/>
  <c r="I5" i="12"/>
  <c r="H5" i="12"/>
  <c r="G5" i="12"/>
  <c r="G6" i="12"/>
  <c r="H6" i="12"/>
  <c r="I6" i="12"/>
  <c r="J6" i="12"/>
  <c r="K6" i="12"/>
  <c r="H7" i="12"/>
  <c r="I7" i="12"/>
  <c r="J7" i="12"/>
  <c r="K7" i="12"/>
  <c r="G7" i="12"/>
  <c r="H4" i="12"/>
  <c r="I4" i="12"/>
  <c r="J4" i="12"/>
  <c r="K4" i="12"/>
  <c r="G4" i="12"/>
  <c r="H3" i="12"/>
  <c r="I3" i="12"/>
  <c r="J3" i="12"/>
  <c r="K3" i="12"/>
  <c r="G3" i="12"/>
  <c r="G50" i="5"/>
  <c r="I31" i="8"/>
  <c r="H31" i="8"/>
  <c r="G29" i="3"/>
  <c r="H29" i="3"/>
  <c r="I29" i="3"/>
  <c r="J29" i="3"/>
  <c r="K29" i="3"/>
  <c r="G11" i="2"/>
  <c r="G10" i="2"/>
  <c r="G32" i="2"/>
  <c r="G32" i="3"/>
  <c r="H32" i="3"/>
  <c r="I32" i="3"/>
  <c r="J32" i="3"/>
  <c r="K32" i="3"/>
  <c r="G7" i="3"/>
  <c r="H7" i="3"/>
  <c r="I7" i="3"/>
  <c r="J7" i="3"/>
  <c r="K7" i="3"/>
  <c r="G41" i="2"/>
  <c r="G36" i="2"/>
  <c r="G22" i="1"/>
  <c r="G47" i="3"/>
  <c r="G39" i="3"/>
  <c r="G44" i="2"/>
  <c r="G68" i="5"/>
  <c r="E68" i="5"/>
  <c r="F68" i="5"/>
  <c r="D68" i="5"/>
  <c r="G43" i="8"/>
  <c r="G28" i="5"/>
  <c r="H28" i="5"/>
  <c r="I28" i="5"/>
  <c r="J28" i="5"/>
  <c r="K28" i="5"/>
  <c r="G31" i="8"/>
  <c r="G34" i="8"/>
  <c r="K39" i="8"/>
  <c r="J39" i="8"/>
  <c r="I39" i="8"/>
  <c r="H39" i="8"/>
  <c r="G39" i="8"/>
  <c r="F8" i="7"/>
  <c r="C65" i="5"/>
  <c r="E33" i="2"/>
  <c r="F33" i="2"/>
  <c r="G29" i="2"/>
  <c r="G46" i="2"/>
  <c r="G43" i="2"/>
  <c r="D62" i="5"/>
  <c r="E62" i="5"/>
  <c r="F62" i="5"/>
  <c r="C62" i="5"/>
  <c r="G37" i="2"/>
  <c r="G22" i="2"/>
  <c r="G17" i="2"/>
  <c r="D56" i="5"/>
  <c r="E56" i="5"/>
  <c r="F56" i="5"/>
  <c r="C56" i="5"/>
  <c r="C52" i="5"/>
  <c r="D52" i="5"/>
  <c r="E52" i="5"/>
  <c r="F52" i="5"/>
  <c r="D29" i="5"/>
  <c r="E29" i="5"/>
  <c r="F29" i="5"/>
  <c r="C29" i="5"/>
  <c r="G27" i="5"/>
  <c r="H8" i="2"/>
  <c r="I8" i="2"/>
  <c r="J8" i="2"/>
  <c r="K8" i="2"/>
  <c r="G8" i="2"/>
  <c r="H24" i="8"/>
  <c r="G24" i="8"/>
  <c r="H22" i="8"/>
  <c r="I22" i="8"/>
  <c r="J22" i="8"/>
  <c r="K22" i="8"/>
  <c r="G22" i="8"/>
  <c r="G21" i="8"/>
  <c r="G9" i="2"/>
  <c r="G23" i="8"/>
  <c r="D53" i="5"/>
  <c r="E53" i="5"/>
  <c r="F53" i="5"/>
  <c r="C53" i="5"/>
  <c r="C30" i="1"/>
  <c r="C24" i="1"/>
  <c r="D24" i="1"/>
  <c r="E24" i="1"/>
  <c r="F24" i="1"/>
  <c r="D14" i="2"/>
  <c r="E14" i="2"/>
  <c r="F14" i="2"/>
  <c r="C14" i="2"/>
  <c r="C44" i="5"/>
  <c r="G14" i="8"/>
  <c r="C39" i="5"/>
  <c r="D41" i="5"/>
  <c r="E41" i="5"/>
  <c r="F41" i="5"/>
  <c r="C9" i="8"/>
  <c r="D23" i="2"/>
  <c r="E23" i="2"/>
  <c r="F23" i="2"/>
  <c r="C23" i="2"/>
  <c r="E47" i="2"/>
  <c r="F47" i="2"/>
  <c r="D47" i="2"/>
  <c r="F38" i="2"/>
  <c r="E38" i="2"/>
  <c r="D38" i="2"/>
  <c r="D33" i="2"/>
  <c r="C9" i="5"/>
  <c r="D7" i="1"/>
  <c r="E7" i="1"/>
  <c r="F7" i="1"/>
  <c r="H6" i="5"/>
  <c r="G5" i="5"/>
  <c r="F6" i="5"/>
  <c r="C7" i="5"/>
  <c r="E6" i="5"/>
  <c r="D6" i="5"/>
  <c r="D14" i="1"/>
  <c r="E14" i="1"/>
  <c r="F14" i="1"/>
  <c r="D12" i="1"/>
  <c r="E12" i="1"/>
  <c r="F12" i="1"/>
  <c r="C12" i="1"/>
  <c r="C7" i="1"/>
  <c r="E5" i="1"/>
  <c r="F5" i="1"/>
  <c r="D5" i="1"/>
  <c r="E7" i="5"/>
  <c r="F7" i="5"/>
  <c r="D7" i="5"/>
  <c r="F30" i="1"/>
  <c r="E30" i="1"/>
  <c r="D30" i="1"/>
  <c r="G9" i="12" l="1"/>
  <c r="G20" i="12" s="1"/>
  <c r="J9" i="12"/>
  <c r="J20" i="12" s="1"/>
  <c r="K9" i="12"/>
  <c r="H9" i="12"/>
  <c r="H20" i="12" s="1"/>
  <c r="I9" i="12"/>
  <c r="I20" i="12" s="1"/>
  <c r="G52" i="5"/>
  <c r="H29" i="2"/>
  <c r="H46" i="2"/>
  <c r="H9" i="2"/>
  <c r="I9" i="2" s="1"/>
  <c r="G15" i="3"/>
  <c r="G38" i="2"/>
  <c r="H17" i="2"/>
  <c r="G14" i="3"/>
  <c r="H37" i="2"/>
  <c r="I37" i="2" s="1"/>
  <c r="J37" i="2" s="1"/>
  <c r="H22" i="2"/>
  <c r="G12" i="3"/>
  <c r="H44" i="2"/>
  <c r="H68" i="5"/>
  <c r="I68" i="5" s="1"/>
  <c r="H43" i="2"/>
  <c r="H11" i="2"/>
  <c r="I11" i="2" s="1"/>
  <c r="J11" i="2" s="1"/>
  <c r="H32" i="2"/>
  <c r="I32" i="2" s="1"/>
  <c r="J32" i="2" s="1"/>
  <c r="K32" i="2"/>
  <c r="H41" i="2"/>
  <c r="I41" i="2" s="1"/>
  <c r="J41" i="2"/>
  <c r="K41" i="2" s="1"/>
  <c r="H36" i="2"/>
  <c r="H22" i="1"/>
  <c r="I22" i="1" s="1"/>
  <c r="J22" i="1" s="1"/>
  <c r="K22" i="1"/>
  <c r="C11" i="5"/>
  <c r="G62" i="5"/>
  <c r="H62" i="5" s="1"/>
  <c r="I62" i="5" s="1"/>
  <c r="G5" i="7"/>
  <c r="H34" i="8"/>
  <c r="H43" i="8" s="1"/>
  <c r="H10" i="2" s="1"/>
  <c r="I29" i="2"/>
  <c r="J29" i="2" s="1"/>
  <c r="K29" i="2" s="1"/>
  <c r="I46" i="2"/>
  <c r="J46" i="2" s="1"/>
  <c r="K46" i="2" s="1"/>
  <c r="I43" i="2"/>
  <c r="J43" i="2" s="1"/>
  <c r="K37" i="2"/>
  <c r="I17" i="2"/>
  <c r="G56" i="5"/>
  <c r="H56" i="5" s="1"/>
  <c r="I56" i="5" s="1"/>
  <c r="J56" i="5" s="1"/>
  <c r="K56" i="5" s="1"/>
  <c r="H52" i="5"/>
  <c r="I52" i="5" s="1"/>
  <c r="H27" i="5"/>
  <c r="H50" i="5"/>
  <c r="I50" i="5" s="1"/>
  <c r="I27" i="5"/>
  <c r="G53" i="5"/>
  <c r="H53" i="5" s="1"/>
  <c r="I53" i="5" s="1"/>
  <c r="H21" i="8"/>
  <c r="H23" i="8"/>
  <c r="J9" i="2"/>
  <c r="K9" i="2" s="1"/>
  <c r="C25" i="2"/>
  <c r="G41" i="5"/>
  <c r="C11" i="8"/>
  <c r="D5" i="8"/>
  <c r="D44" i="5" s="1"/>
  <c r="D25" i="2"/>
  <c r="D51" i="2" s="1"/>
  <c r="F49" i="2"/>
  <c r="E49" i="2"/>
  <c r="D49" i="2"/>
  <c r="E25" i="2"/>
  <c r="F25" i="2"/>
  <c r="C17" i="5"/>
  <c r="C19" i="5"/>
  <c r="C15" i="5"/>
  <c r="I6" i="5"/>
  <c r="C14" i="1"/>
  <c r="C18" i="1" s="1"/>
  <c r="C26" i="1" s="1"/>
  <c r="D15" i="1"/>
  <c r="F9" i="5"/>
  <c r="F11" i="5" s="1"/>
  <c r="E9" i="5"/>
  <c r="E11" i="5" s="1"/>
  <c r="D9" i="5"/>
  <c r="D11" i="5" s="1"/>
  <c r="G11" i="5" s="1"/>
  <c r="H11" i="5" s="1"/>
  <c r="I11" i="5" s="1"/>
  <c r="J11" i="5" s="1"/>
  <c r="K11" i="5" s="1"/>
  <c r="D8" i="5"/>
  <c r="H5" i="5"/>
  <c r="E8" i="5"/>
  <c r="F8" i="5"/>
  <c r="C18" i="12" l="1"/>
  <c r="L20" i="12" s="1"/>
  <c r="K20" i="12"/>
  <c r="I22" i="2"/>
  <c r="I15" i="3"/>
  <c r="I14" i="3"/>
  <c r="F51" i="2"/>
  <c r="E51" i="2"/>
  <c r="H15" i="3"/>
  <c r="H14" i="3"/>
  <c r="J17" i="2"/>
  <c r="J14" i="3"/>
  <c r="I44" i="2"/>
  <c r="H12" i="3"/>
  <c r="J68" i="5"/>
  <c r="K68" i="5" s="1"/>
  <c r="K11" i="2"/>
  <c r="I36" i="2"/>
  <c r="H38" i="2"/>
  <c r="J52" i="5"/>
  <c r="K52" i="5" s="1"/>
  <c r="J50" i="5"/>
  <c r="K50" i="5" s="1"/>
  <c r="J62" i="5"/>
  <c r="K62" i="5" s="1"/>
  <c r="I34" i="8"/>
  <c r="I43" i="8" s="1"/>
  <c r="K43" i="2"/>
  <c r="J27" i="5"/>
  <c r="J53" i="5"/>
  <c r="K53" i="5" s="1"/>
  <c r="I21" i="8"/>
  <c r="I24" i="8" s="1"/>
  <c r="I23" i="8"/>
  <c r="J23" i="8" s="1"/>
  <c r="K23" i="8" s="1"/>
  <c r="C32" i="1"/>
  <c r="C32" i="5"/>
  <c r="G40" i="5"/>
  <c r="H41" i="5"/>
  <c r="I41" i="5" s="1"/>
  <c r="J41" i="5" s="1"/>
  <c r="K41" i="5" s="1"/>
  <c r="D9" i="8"/>
  <c r="D39" i="5"/>
  <c r="F15" i="5"/>
  <c r="F19" i="5"/>
  <c r="F17" i="5"/>
  <c r="E15" i="5"/>
  <c r="E19" i="5"/>
  <c r="E17" i="5"/>
  <c r="D15" i="5"/>
  <c r="D19" i="5"/>
  <c r="D17" i="5"/>
  <c r="J6" i="5"/>
  <c r="K6" i="5" s="1"/>
  <c r="G8" i="5"/>
  <c r="H8" i="5" s="1"/>
  <c r="I8" i="5" s="1"/>
  <c r="J8" i="5" s="1"/>
  <c r="K8" i="5" s="1"/>
  <c r="I5" i="5"/>
  <c r="E18" i="1"/>
  <c r="E26" i="1" s="1"/>
  <c r="E15" i="1"/>
  <c r="F18" i="1"/>
  <c r="F26" i="1" s="1"/>
  <c r="F15" i="1"/>
  <c r="D18" i="1"/>
  <c r="D26" i="1" s="1"/>
  <c r="C22" i="12" l="1"/>
  <c r="C24" i="12" s="1"/>
  <c r="J22" i="2"/>
  <c r="J15" i="3"/>
  <c r="K14" i="3"/>
  <c r="K17" i="2"/>
  <c r="I10" i="2"/>
  <c r="J31" i="8"/>
  <c r="J44" i="2"/>
  <c r="I12" i="3"/>
  <c r="I38" i="2"/>
  <c r="J36" i="2"/>
  <c r="J34" i="8"/>
  <c r="J43" i="8" s="1"/>
  <c r="K27" i="5"/>
  <c r="G15" i="5"/>
  <c r="G19" i="5"/>
  <c r="H19" i="5" s="1"/>
  <c r="I19" i="5" s="1"/>
  <c r="J19" i="5" s="1"/>
  <c r="K19" i="5" s="1"/>
  <c r="J21" i="8"/>
  <c r="J24" i="8" s="1"/>
  <c r="K21" i="8" s="1"/>
  <c r="K24" i="8" s="1"/>
  <c r="G17" i="5"/>
  <c r="H17" i="5" s="1"/>
  <c r="I17" i="5" s="1"/>
  <c r="J17" i="5" s="1"/>
  <c r="G6" i="8"/>
  <c r="G24" i="3" s="1"/>
  <c r="H40" i="5"/>
  <c r="E32" i="1"/>
  <c r="E32" i="5"/>
  <c r="F32" i="1"/>
  <c r="F32" i="5"/>
  <c r="D32" i="1"/>
  <c r="D32" i="5"/>
  <c r="D35" i="5"/>
  <c r="D36" i="5" s="1"/>
  <c r="D11" i="8"/>
  <c r="E5" i="8"/>
  <c r="E44" i="5" s="1"/>
  <c r="G7" i="5"/>
  <c r="J5" i="5"/>
  <c r="E19" i="1"/>
  <c r="F19" i="1"/>
  <c r="D19" i="1"/>
  <c r="D27" i="12" l="1"/>
  <c r="K22" i="2"/>
  <c r="J10" i="2"/>
  <c r="K31" i="8"/>
  <c r="J12" i="3"/>
  <c r="K44" i="2"/>
  <c r="K12" i="3" s="1"/>
  <c r="K36" i="2"/>
  <c r="K38" i="2" s="1"/>
  <c r="J38" i="2"/>
  <c r="E33" i="1"/>
  <c r="E65" i="5"/>
  <c r="F33" i="1"/>
  <c r="F65" i="5"/>
  <c r="D33" i="1"/>
  <c r="D65" i="5"/>
  <c r="K34" i="8"/>
  <c r="K43" i="8" s="1"/>
  <c r="K10" i="2" s="1"/>
  <c r="H15" i="5"/>
  <c r="G32" i="5"/>
  <c r="H32" i="5" s="1"/>
  <c r="I32" i="5" s="1"/>
  <c r="J32" i="5" s="1"/>
  <c r="K32" i="5" s="1"/>
  <c r="K17" i="5"/>
  <c r="I40" i="5"/>
  <c r="H6" i="8"/>
  <c r="H24" i="3" s="1"/>
  <c r="E39" i="5"/>
  <c r="E9" i="8"/>
  <c r="E35" i="5" s="1"/>
  <c r="E36" i="5" s="1"/>
  <c r="G9" i="5"/>
  <c r="H7" i="5"/>
  <c r="K5" i="5"/>
  <c r="K15" i="3" l="1"/>
  <c r="G18" i="5"/>
  <c r="G11" i="1" s="1"/>
  <c r="G10" i="5"/>
  <c r="G21" i="1" s="1"/>
  <c r="I15" i="5"/>
  <c r="J40" i="5"/>
  <c r="I6" i="8"/>
  <c r="I24" i="3" s="1"/>
  <c r="J15" i="5"/>
  <c r="F5" i="8"/>
  <c r="F44" i="5" s="1"/>
  <c r="G44" i="5" s="1"/>
  <c r="H44" i="5" s="1"/>
  <c r="I44" i="5" s="1"/>
  <c r="J44" i="5" s="1"/>
  <c r="K44" i="5" s="1"/>
  <c r="E11" i="8"/>
  <c r="G4" i="1"/>
  <c r="G16" i="5"/>
  <c r="G10" i="1" s="1"/>
  <c r="G14" i="5"/>
  <c r="G9" i="1" s="1"/>
  <c r="G42" i="2" s="1"/>
  <c r="G11" i="3" s="1"/>
  <c r="H9" i="5"/>
  <c r="I7" i="5"/>
  <c r="G30" i="3" l="1"/>
  <c r="G9" i="3"/>
  <c r="G51" i="5"/>
  <c r="G18" i="2" s="1"/>
  <c r="G55" i="5"/>
  <c r="G21" i="2" s="1"/>
  <c r="H18" i="5"/>
  <c r="H11" i="1" s="1"/>
  <c r="H10" i="5"/>
  <c r="H21" i="1" s="1"/>
  <c r="G19" i="2"/>
  <c r="G7" i="1"/>
  <c r="G5" i="1"/>
  <c r="G12" i="1"/>
  <c r="K40" i="5"/>
  <c r="K6" i="8" s="1"/>
  <c r="K24" i="3" s="1"/>
  <c r="J6" i="8"/>
  <c r="J24" i="3" s="1"/>
  <c r="K15" i="5"/>
  <c r="F39" i="5"/>
  <c r="G39" i="5" s="1"/>
  <c r="H39" i="5" s="1"/>
  <c r="F9" i="8"/>
  <c r="H4" i="1"/>
  <c r="H16" i="5"/>
  <c r="H10" i="1" s="1"/>
  <c r="H14" i="5"/>
  <c r="H9" i="1" s="1"/>
  <c r="H42" i="2" s="1"/>
  <c r="H11" i="3" s="1"/>
  <c r="I9" i="5"/>
  <c r="J7" i="5"/>
  <c r="G22" i="3" l="1"/>
  <c r="G23" i="3"/>
  <c r="H30" i="3"/>
  <c r="H9" i="3"/>
  <c r="G13" i="3"/>
  <c r="G16" i="3" s="1"/>
  <c r="H51" i="5"/>
  <c r="H18" i="2" s="1"/>
  <c r="H55" i="5"/>
  <c r="H21" i="2" s="1"/>
  <c r="I22" i="3" s="1"/>
  <c r="I18" i="5"/>
  <c r="I11" i="1" s="1"/>
  <c r="I10" i="5"/>
  <c r="I21" i="1" s="1"/>
  <c r="H19" i="2"/>
  <c r="G14" i="1"/>
  <c r="H7" i="1"/>
  <c r="H12" i="1"/>
  <c r="I39" i="5"/>
  <c r="F35" i="5"/>
  <c r="F36" i="5" s="1"/>
  <c r="G36" i="5" s="1"/>
  <c r="H36" i="5" s="1"/>
  <c r="I36" i="5" s="1"/>
  <c r="J36" i="5" s="1"/>
  <c r="K36" i="5" s="1"/>
  <c r="G5" i="8"/>
  <c r="F11" i="8"/>
  <c r="H5" i="1"/>
  <c r="I16" i="5"/>
  <c r="I10" i="1" s="1"/>
  <c r="I14" i="5"/>
  <c r="I9" i="1" s="1"/>
  <c r="I42" i="2" s="1"/>
  <c r="I11" i="3" s="1"/>
  <c r="I4" i="1"/>
  <c r="I55" i="5" s="1"/>
  <c r="I21" i="2" s="1"/>
  <c r="J9" i="5"/>
  <c r="K7" i="5"/>
  <c r="K9" i="5" s="1"/>
  <c r="H22" i="3" l="1"/>
  <c r="H23" i="3"/>
  <c r="H13" i="3"/>
  <c r="H16" i="3" s="1"/>
  <c r="I9" i="3"/>
  <c r="I30" i="3"/>
  <c r="J18" i="5"/>
  <c r="J11" i="1" s="1"/>
  <c r="J10" i="5"/>
  <c r="J21" i="1" s="1"/>
  <c r="K18" i="5"/>
  <c r="K11" i="1" s="1"/>
  <c r="K10" i="5"/>
  <c r="K21" i="1" s="1"/>
  <c r="I19" i="2"/>
  <c r="I51" i="5"/>
  <c r="I18" i="2" s="1"/>
  <c r="G15" i="1"/>
  <c r="G7" i="8"/>
  <c r="G43" i="5"/>
  <c r="G7" i="2" s="1"/>
  <c r="H14" i="1"/>
  <c r="J39" i="5"/>
  <c r="I12" i="1"/>
  <c r="I7" i="1"/>
  <c r="J16" i="5"/>
  <c r="J10" i="1" s="1"/>
  <c r="J14" i="5"/>
  <c r="J9" i="1" s="1"/>
  <c r="J42" i="2" s="1"/>
  <c r="J11" i="3" s="1"/>
  <c r="K4" i="1"/>
  <c r="K55" i="5" s="1"/>
  <c r="K21" i="2" s="1"/>
  <c r="K16" i="5"/>
  <c r="K10" i="1" s="1"/>
  <c r="K14" i="5"/>
  <c r="K9" i="1" s="1"/>
  <c r="K42" i="2" s="1"/>
  <c r="K11" i="3" s="1"/>
  <c r="I5" i="1"/>
  <c r="J4" i="1"/>
  <c r="G26" i="3" l="1"/>
  <c r="J9" i="3"/>
  <c r="J30" i="3"/>
  <c r="K30" i="3"/>
  <c r="K9" i="3"/>
  <c r="I13" i="3"/>
  <c r="I16" i="3" s="1"/>
  <c r="J23" i="3"/>
  <c r="I23" i="3"/>
  <c r="G9" i="8"/>
  <c r="G25" i="3"/>
  <c r="J51" i="5"/>
  <c r="J18" i="2" s="1"/>
  <c r="J55" i="5"/>
  <c r="J21" i="2" s="1"/>
  <c r="K19" i="2"/>
  <c r="K51" i="5"/>
  <c r="K18" i="2" s="1"/>
  <c r="J19" i="2"/>
  <c r="K13" i="3" s="1"/>
  <c r="K16" i="3" s="1"/>
  <c r="K12" i="1"/>
  <c r="G15" i="8"/>
  <c r="H15" i="1"/>
  <c r="J12" i="1"/>
  <c r="K39" i="5"/>
  <c r="I14" i="1"/>
  <c r="K7" i="1"/>
  <c r="J5" i="1"/>
  <c r="K5" i="1"/>
  <c r="J7" i="1"/>
  <c r="G27" i="3" l="1"/>
  <c r="H5" i="8"/>
  <c r="K23" i="3"/>
  <c r="K22" i="3"/>
  <c r="J22" i="3"/>
  <c r="J13" i="3"/>
  <c r="J16" i="3" s="1"/>
  <c r="G16" i="8"/>
  <c r="G26" i="5"/>
  <c r="G29" i="5" s="1"/>
  <c r="I15" i="1"/>
  <c r="J14" i="1"/>
  <c r="K14" i="1"/>
  <c r="H7" i="8" l="1"/>
  <c r="H43" i="5"/>
  <c r="H7" i="2" s="1"/>
  <c r="G17" i="1"/>
  <c r="G18" i="1" s="1"/>
  <c r="G6" i="3"/>
  <c r="H14" i="8"/>
  <c r="G10" i="8"/>
  <c r="G11" i="8" s="1"/>
  <c r="G6" i="2" s="1"/>
  <c r="G14" i="2" s="1"/>
  <c r="J15" i="1"/>
  <c r="K15" i="1"/>
  <c r="H26" i="3" l="1"/>
  <c r="H9" i="8"/>
  <c r="H25" i="3"/>
  <c r="G24" i="1"/>
  <c r="G26" i="1" s="1"/>
  <c r="G30" i="1" s="1"/>
  <c r="H27" i="3"/>
  <c r="G19" i="1"/>
  <c r="I5" i="8" l="1"/>
  <c r="H15" i="8"/>
  <c r="G48" i="3"/>
  <c r="G8" i="3"/>
  <c r="G67" i="5"/>
  <c r="G45" i="2" s="1"/>
  <c r="G47" i="2" s="1"/>
  <c r="G32" i="1"/>
  <c r="G5" i="3" s="1"/>
  <c r="H47" i="3"/>
  <c r="G49" i="3"/>
  <c r="G50" i="3" s="1"/>
  <c r="G17" i="3" s="1"/>
  <c r="G20" i="3" s="1"/>
  <c r="G6" i="7"/>
  <c r="G7" i="7" s="1"/>
  <c r="G31" i="3" s="1"/>
  <c r="G33" i="3" s="1"/>
  <c r="G36" i="3" s="1"/>
  <c r="I7" i="8" l="1"/>
  <c r="I43" i="5"/>
  <c r="I7" i="2" s="1"/>
  <c r="I26" i="3" s="1"/>
  <c r="H26" i="5"/>
  <c r="H29" i="5" s="1"/>
  <c r="H16" i="8"/>
  <c r="G33" i="1"/>
  <c r="G40" i="3"/>
  <c r="G41" i="3" s="1"/>
  <c r="I9" i="8" l="1"/>
  <c r="I25" i="3"/>
  <c r="I27" i="3" s="1"/>
  <c r="H6" i="3"/>
  <c r="H17" i="1"/>
  <c r="H18" i="1" s="1"/>
  <c r="H10" i="8"/>
  <c r="H11" i="8" s="1"/>
  <c r="H6" i="2" s="1"/>
  <c r="H14" i="2" s="1"/>
  <c r="I14" i="8"/>
  <c r="H39" i="3"/>
  <c r="G20" i="2"/>
  <c r="G23" i="2" s="1"/>
  <c r="G25" i="2" s="1"/>
  <c r="G8" i="7"/>
  <c r="I15" i="8" l="1"/>
  <c r="J5" i="8"/>
  <c r="H24" i="1"/>
  <c r="H26" i="1" s="1"/>
  <c r="H30" i="1" s="1"/>
  <c r="H19" i="1"/>
  <c r="H5" i="7"/>
  <c r="G30" i="2"/>
  <c r="G49" i="2" s="1"/>
  <c r="G51" i="2" s="1"/>
  <c r="I16" i="8" l="1"/>
  <c r="I26" i="5"/>
  <c r="I29" i="5" s="1"/>
  <c r="J9" i="8"/>
  <c r="J43" i="5"/>
  <c r="J7" i="2" s="1"/>
  <c r="J26" i="3" s="1"/>
  <c r="J7" i="8"/>
  <c r="J25" i="3" s="1"/>
  <c r="H67" i="5"/>
  <c r="H45" i="2" s="1"/>
  <c r="H47" i="2" s="1"/>
  <c r="H48" i="3"/>
  <c r="H8" i="3"/>
  <c r="H32" i="1"/>
  <c r="H5" i="3" s="1"/>
  <c r="H49" i="3"/>
  <c r="H50" i="3" s="1"/>
  <c r="H17" i="3" s="1"/>
  <c r="H20" i="3" s="1"/>
  <c r="J14" i="8" l="1"/>
  <c r="I10" i="8"/>
  <c r="I11" i="8" s="1"/>
  <c r="I6" i="2" s="1"/>
  <c r="I14" i="2" s="1"/>
  <c r="I6" i="3"/>
  <c r="I17" i="1"/>
  <c r="I18" i="1" s="1"/>
  <c r="J15" i="8"/>
  <c r="J26" i="5" s="1"/>
  <c r="J29" i="5" s="1"/>
  <c r="K5" i="8"/>
  <c r="J27" i="3"/>
  <c r="I47" i="3"/>
  <c r="H6" i="7"/>
  <c r="H33" i="1"/>
  <c r="I24" i="1" l="1"/>
  <c r="I26" i="1" s="1"/>
  <c r="I19" i="1"/>
  <c r="J6" i="3"/>
  <c r="J17" i="1"/>
  <c r="J18" i="1" s="1"/>
  <c r="K43" i="5"/>
  <c r="K7" i="2" s="1"/>
  <c r="K26" i="3" s="1"/>
  <c r="K7" i="8"/>
  <c r="K25" i="3" s="1"/>
  <c r="K27" i="3" s="1"/>
  <c r="J16" i="8"/>
  <c r="H7" i="7"/>
  <c r="H31" i="3" s="1"/>
  <c r="H33" i="3" s="1"/>
  <c r="H36" i="3" s="1"/>
  <c r="H40" i="3" s="1"/>
  <c r="H41" i="3" s="1"/>
  <c r="H20" i="2" l="1"/>
  <c r="H23" i="2" s="1"/>
  <c r="H25" i="2" s="1"/>
  <c r="I30" i="1"/>
  <c r="J24" i="1"/>
  <c r="J26" i="1" s="1"/>
  <c r="J19" i="1"/>
  <c r="J10" i="8"/>
  <c r="J11" i="8" s="1"/>
  <c r="J6" i="2" s="1"/>
  <c r="J14" i="2" s="1"/>
  <c r="K14" i="8"/>
  <c r="I39" i="3"/>
  <c r="H8" i="7"/>
  <c r="K9" i="8"/>
  <c r="K15" i="8" s="1"/>
  <c r="K26" i="5" s="1"/>
  <c r="K29" i="5" s="1"/>
  <c r="I8" i="3" l="1"/>
  <c r="I48" i="3"/>
  <c r="I67" i="5"/>
  <c r="I45" i="2" s="1"/>
  <c r="J30" i="1"/>
  <c r="K17" i="1"/>
  <c r="K18" i="1" s="1"/>
  <c r="K6" i="3"/>
  <c r="K16" i="8"/>
  <c r="K10" i="8" s="1"/>
  <c r="K11" i="8" s="1"/>
  <c r="K6" i="2" s="1"/>
  <c r="K14" i="2" s="1"/>
  <c r="H30" i="2"/>
  <c r="H33" i="2" s="1"/>
  <c r="H49" i="2" s="1"/>
  <c r="H51" i="2" s="1"/>
  <c r="I5" i="7"/>
  <c r="I32" i="1"/>
  <c r="J47" i="3" l="1"/>
  <c r="I49" i="3"/>
  <c r="I50" i="3" s="1"/>
  <c r="I17" i="3" s="1"/>
  <c r="I47" i="2"/>
  <c r="J67" i="5"/>
  <c r="J45" i="2" s="1"/>
  <c r="J8" i="3"/>
  <c r="J48" i="3"/>
  <c r="K19" i="1"/>
  <c r="K24" i="1"/>
  <c r="K26" i="1" s="1"/>
  <c r="I5" i="3"/>
  <c r="I33" i="1"/>
  <c r="I6" i="7"/>
  <c r="J32" i="1"/>
  <c r="K47" i="3" l="1"/>
  <c r="J49" i="3"/>
  <c r="J50" i="3" s="1"/>
  <c r="J17" i="3" s="1"/>
  <c r="J47" i="2"/>
  <c r="K30" i="1"/>
  <c r="I7" i="7"/>
  <c r="I31" i="3" s="1"/>
  <c r="I33" i="3" s="1"/>
  <c r="I36" i="3" s="1"/>
  <c r="I40" i="3" s="1"/>
  <c r="I41" i="3" s="1"/>
  <c r="J5" i="3"/>
  <c r="J33" i="1"/>
  <c r="J6" i="7"/>
  <c r="J7" i="7" s="1"/>
  <c r="J31" i="3" s="1"/>
  <c r="J33" i="3" s="1"/>
  <c r="I20" i="3"/>
  <c r="K48" i="3" l="1"/>
  <c r="K67" i="5"/>
  <c r="K45" i="2" s="1"/>
  <c r="K8" i="3"/>
  <c r="I20" i="2"/>
  <c r="I23" i="2" s="1"/>
  <c r="I25" i="2" s="1"/>
  <c r="J39" i="3"/>
  <c r="J20" i="3"/>
  <c r="J36" i="3" s="1"/>
  <c r="J40" i="3" s="1"/>
  <c r="K32" i="1"/>
  <c r="I8" i="7"/>
  <c r="K47" i="2" l="1"/>
  <c r="K49" i="3"/>
  <c r="K50" i="3" s="1"/>
  <c r="K17" i="3" s="1"/>
  <c r="K20" i="3" s="1"/>
  <c r="K5" i="3"/>
  <c r="K33" i="1"/>
  <c r="K6" i="7"/>
  <c r="K7" i="7" s="1"/>
  <c r="K31" i="3" s="1"/>
  <c r="K33" i="3" s="1"/>
  <c r="I30" i="2"/>
  <c r="I33" i="2" s="1"/>
  <c r="I49" i="2" s="1"/>
  <c r="I51" i="2" s="1"/>
  <c r="J5" i="7"/>
  <c r="J8" i="7" s="1"/>
  <c r="J41" i="3"/>
  <c r="K36" i="3" l="1"/>
  <c r="K40" i="3" s="1"/>
  <c r="K5" i="7"/>
  <c r="K8" i="7" s="1"/>
  <c r="K30" i="2" s="1"/>
  <c r="K33" i="2" s="1"/>
  <c r="K49" i="2" s="1"/>
  <c r="J30" i="2"/>
  <c r="J33" i="2" s="1"/>
  <c r="J49" i="2" s="1"/>
  <c r="J20" i="2"/>
  <c r="J23" i="2" s="1"/>
  <c r="J25" i="2" s="1"/>
  <c r="K39" i="3"/>
  <c r="K41" i="3" l="1"/>
  <c r="K20" i="2" s="1"/>
  <c r="K23" i="2" s="1"/>
  <c r="K25" i="2" s="1"/>
  <c r="J51" i="2"/>
  <c r="K51" i="2" l="1"/>
  <c r="F8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<sst xmlns="http://schemas.openxmlformats.org/spreadsheetml/2006/main" count="232" uniqueCount="195">
  <si>
    <t>Revenue Assumptions</t>
  </si>
  <si>
    <t>Year</t>
  </si>
  <si>
    <t>Key Drivers</t>
  </si>
  <si>
    <t>Headcounts (No. of employees)</t>
  </si>
  <si>
    <t>Growth</t>
  </si>
  <si>
    <t>Revenue per employee</t>
  </si>
  <si>
    <t>Total revenue</t>
  </si>
  <si>
    <t>Expenses Assumptions</t>
  </si>
  <si>
    <t>Employee Benefit Expenses</t>
  </si>
  <si>
    <t>% of revenue</t>
  </si>
  <si>
    <t>Cost of Equipment &amp; Software</t>
  </si>
  <si>
    <t>Other Expenses</t>
  </si>
  <si>
    <t>TCS — Consolidated Statement of Profit &amp; Loss</t>
  </si>
  <si>
    <t>₹ Crore | Source: Annual Reports FY25, FY26</t>
  </si>
  <si>
    <t>Revenue from Operations</t>
  </si>
  <si>
    <t>Revenue Growth</t>
  </si>
  <si>
    <t>Revenue</t>
  </si>
  <si>
    <t>Total expenses</t>
  </si>
  <si>
    <t>EBITDA</t>
  </si>
  <si>
    <t>EBITDA Margin</t>
  </si>
  <si>
    <t>Depreciation &amp; Amortisation</t>
  </si>
  <si>
    <t>EBIT</t>
  </si>
  <si>
    <t>EBIT Margin</t>
  </si>
  <si>
    <t>Other income</t>
  </si>
  <si>
    <t>Finance Costs</t>
  </si>
  <si>
    <t>Profit Before Execptional &amp; Tax</t>
  </si>
  <si>
    <t>Exceptional Items</t>
  </si>
  <si>
    <t>Profit Before Tax(PBT)</t>
  </si>
  <si>
    <t>Current Tax</t>
  </si>
  <si>
    <t>Deferred Tax</t>
  </si>
  <si>
    <t>Total tax expense</t>
  </si>
  <si>
    <t>Profit after Tax (PAT)</t>
  </si>
  <si>
    <t>Attributable to Shareholders</t>
  </si>
  <si>
    <t>Attributable to NCI</t>
  </si>
  <si>
    <t>TCS — Consolidated Balance Sheet</t>
  </si>
  <si>
    <t>Asset</t>
  </si>
  <si>
    <t>Non - Current Asset</t>
  </si>
  <si>
    <t>Property, Plant &amp; Equipment (net)</t>
  </si>
  <si>
    <t>Capital Work-in-Progress</t>
  </si>
  <si>
    <t>Right-of-Use Assets</t>
  </si>
  <si>
    <t>Goodwill</t>
  </si>
  <si>
    <t>Other Intangible Assets</t>
  </si>
  <si>
    <t>Other Non-current Assets</t>
  </si>
  <si>
    <t>Total Non-Current Assets</t>
  </si>
  <si>
    <t>TCS — Consolidated Statement of Cash Flows</t>
  </si>
  <si>
    <t>Current Asset</t>
  </si>
  <si>
    <t>Total Current liabilities</t>
  </si>
  <si>
    <t>Total Equity and Liabilities</t>
  </si>
  <si>
    <t>Current Liabilities</t>
  </si>
  <si>
    <t>Total Non-Current Liabilities</t>
  </si>
  <si>
    <t>Non-Current Liabilities</t>
  </si>
  <si>
    <t>Total Equity</t>
  </si>
  <si>
    <t>Equity</t>
  </si>
  <si>
    <t>Equity &amp; Liabilities</t>
  </si>
  <si>
    <t>Total Current Assets</t>
  </si>
  <si>
    <t>Total Assets</t>
  </si>
  <si>
    <t>Inventories</t>
  </si>
  <si>
    <t>Investments (current)</t>
  </si>
  <si>
    <t>Cash &amp; Cash Equivalents</t>
  </si>
  <si>
    <t>Other Balances with Banks</t>
  </si>
  <si>
    <t>Other Current Assets</t>
  </si>
  <si>
    <t>Share Capital</t>
  </si>
  <si>
    <t>Other Equity (Reserves &amp; Surplus)</t>
  </si>
  <si>
    <t>Non-Controlling Interests</t>
  </si>
  <si>
    <t>Lease Liabilities (non-current)</t>
  </si>
  <si>
    <t>Other Non-current Liabilities</t>
  </si>
  <si>
    <t>Lease Liabilities (current)</t>
  </si>
  <si>
    <t>Trade Payables</t>
  </si>
  <si>
    <t>Other Financial Liabilities</t>
  </si>
  <si>
    <t>Unearned &amp; Deferred Revenue</t>
  </si>
  <si>
    <t>Income Tax Liabilities</t>
  </si>
  <si>
    <t>Other Current Liabilities</t>
  </si>
  <si>
    <t>Effective Tax rate</t>
  </si>
  <si>
    <t>Opening balance</t>
  </si>
  <si>
    <t>Add: CAPEX</t>
  </si>
  <si>
    <t>Less Asset dispose or sold</t>
  </si>
  <si>
    <t>Closing Gross Block</t>
  </si>
  <si>
    <t>Opening Gross Block</t>
  </si>
  <si>
    <t>Add/Less : Translation Difference</t>
  </si>
  <si>
    <t>PPE Schedule</t>
  </si>
  <si>
    <t>Less : Accumalated Depreciation</t>
  </si>
  <si>
    <t>Net Block</t>
  </si>
  <si>
    <t>Accumalated Depreciation For PPE</t>
  </si>
  <si>
    <t>Depreciation for current year</t>
  </si>
  <si>
    <t xml:space="preserve">Closing Balance </t>
  </si>
  <si>
    <t>Current year Dep. For PPE</t>
  </si>
  <si>
    <t>Average Gross Block PPE</t>
  </si>
  <si>
    <t>% of Depreciation</t>
  </si>
  <si>
    <t>Disposal</t>
  </si>
  <si>
    <t xml:space="preserve">Organic CAPEX </t>
  </si>
  <si>
    <t>% of Opening Gross block</t>
  </si>
  <si>
    <t>CWIP</t>
  </si>
  <si>
    <t>% of Gross PPE</t>
  </si>
  <si>
    <t>Balance sheet Assumptions</t>
  </si>
  <si>
    <t>PAT Margin</t>
  </si>
  <si>
    <t>ROU</t>
  </si>
  <si>
    <t>Depreciation on ROU</t>
  </si>
  <si>
    <t xml:space="preserve">Opening balance </t>
  </si>
  <si>
    <t>Closing balance</t>
  </si>
  <si>
    <t>Addition</t>
  </si>
  <si>
    <t>ROU Asset</t>
  </si>
  <si>
    <t>Depreciation on PPE</t>
  </si>
  <si>
    <t>Depreciation and Amortization</t>
  </si>
  <si>
    <t>Amortization</t>
  </si>
  <si>
    <t>TAX</t>
  </si>
  <si>
    <t xml:space="preserve">Trade Receivables </t>
  </si>
  <si>
    <t>Constant</t>
  </si>
  <si>
    <t>Trade Receivables (Days)</t>
  </si>
  <si>
    <t>From cashflow</t>
  </si>
  <si>
    <t xml:space="preserve">TCS </t>
  </si>
  <si>
    <t>Closing Equity</t>
  </si>
  <si>
    <t>Dividend Paid</t>
  </si>
  <si>
    <t xml:space="preserve">Dividend Payout </t>
  </si>
  <si>
    <t>Opening Equity</t>
  </si>
  <si>
    <t>Dividend</t>
  </si>
  <si>
    <t>Net Profit</t>
  </si>
  <si>
    <t>Opening (Net)</t>
  </si>
  <si>
    <t>Organic Addition (Assumed 200 cr)</t>
  </si>
  <si>
    <t>Closing (Net)</t>
  </si>
  <si>
    <t>-</t>
  </si>
  <si>
    <t>PAT</t>
  </si>
  <si>
    <t>Add: Depreciation</t>
  </si>
  <si>
    <t>Add: Interest Expense</t>
  </si>
  <si>
    <t>Net Change in Working Capital (excluding cash and overdraft)</t>
  </si>
  <si>
    <t>Net Change in Working Capital</t>
  </si>
  <si>
    <t>Cashflow from Operations</t>
  </si>
  <si>
    <t>Less: Capex</t>
  </si>
  <si>
    <t>Add: Disposal of Assets</t>
  </si>
  <si>
    <t>Less: Increase in Capital WIP</t>
  </si>
  <si>
    <t>Cashflow from Investment Activities</t>
  </si>
  <si>
    <t>Cashflow from Financing Activities</t>
  </si>
  <si>
    <t>Cashflow from Operating Activities</t>
  </si>
  <si>
    <t>Opening Lease liability</t>
  </si>
  <si>
    <t>Finance Cost Implied Rate</t>
  </si>
  <si>
    <t>Tax Liabilities</t>
  </si>
  <si>
    <t>Add : Tax expense</t>
  </si>
  <si>
    <t>Less : Other Income</t>
  </si>
  <si>
    <t>Add : Trade Payable</t>
  </si>
  <si>
    <t>Trade Receivable</t>
  </si>
  <si>
    <t>Unearned or Deferred Revenue</t>
  </si>
  <si>
    <t>Other Current Asset</t>
  </si>
  <si>
    <t>Less: Investments</t>
  </si>
  <si>
    <t>Net Cash Flow</t>
  </si>
  <si>
    <t>Cash Balance</t>
  </si>
  <si>
    <t>Opening Balance</t>
  </si>
  <si>
    <t>Net Cashflow</t>
  </si>
  <si>
    <t>Closing Balance</t>
  </si>
  <si>
    <t>Dividends Paid</t>
  </si>
  <si>
    <t>Interest Expense</t>
  </si>
  <si>
    <t>Tax Paid</t>
  </si>
  <si>
    <t>Opening Tax Liability</t>
  </si>
  <si>
    <t>Tax Expense</t>
  </si>
  <si>
    <t>Closing Tax liability</t>
  </si>
  <si>
    <t>Other Income</t>
  </si>
  <si>
    <t>Trade payable (Days)</t>
  </si>
  <si>
    <t>Intangible Assets</t>
  </si>
  <si>
    <t>ROU Addition</t>
  </si>
  <si>
    <t>Bank</t>
  </si>
  <si>
    <t>Equity and Liabilities Assumptions</t>
  </si>
  <si>
    <t>TCS — TATA CONSULTANCY SERVICES</t>
  </si>
  <si>
    <t>Change in WIP</t>
  </si>
  <si>
    <t>FFCE</t>
  </si>
  <si>
    <t>Risk-Free Rate</t>
  </si>
  <si>
    <t>Beta</t>
  </si>
  <si>
    <t>Market Risk Premium</t>
  </si>
  <si>
    <t>Cost of Equity</t>
  </si>
  <si>
    <t>Terminal Growth Rate</t>
  </si>
  <si>
    <t>Terminal Value</t>
  </si>
  <si>
    <t>Cash Flows</t>
  </si>
  <si>
    <t>No. of Shares (in Crores)</t>
  </si>
  <si>
    <t>Share Price</t>
  </si>
  <si>
    <t>Net Borrowings</t>
  </si>
  <si>
    <t>Change in Working Capital</t>
  </si>
  <si>
    <t>Capex</t>
  </si>
  <si>
    <t>D&amp;A</t>
  </si>
  <si>
    <t>TCS - DCF Valuation</t>
  </si>
  <si>
    <t>Assumptions</t>
  </si>
  <si>
    <t>Working</t>
  </si>
  <si>
    <t>Asset Schedule</t>
  </si>
  <si>
    <t>Equity Schedule</t>
  </si>
  <si>
    <t>Output</t>
  </si>
  <si>
    <t>P/L</t>
  </si>
  <si>
    <t>Balance Sheet</t>
  </si>
  <si>
    <t>Cash Flow</t>
  </si>
  <si>
    <t>Valuation</t>
  </si>
  <si>
    <t>Asset schedule'</t>
  </si>
  <si>
    <t>Equity Schedule'</t>
  </si>
  <si>
    <t>P&amp;L</t>
  </si>
  <si>
    <t>Existing intangibles Amort.</t>
  </si>
  <si>
    <t>Additional Amort.</t>
  </si>
  <si>
    <t>Total</t>
  </si>
  <si>
    <t>Final Net Intangible Assets</t>
  </si>
  <si>
    <t>Terminal value</t>
  </si>
  <si>
    <t>Col input</t>
  </si>
  <si>
    <t>Entreprise value/Equity Valu (FCFE discounted)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</si>
</sst>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164" formatCode="#,##0;\(#,##0\);\-"/>
    <numFmt numFmtId="165" formatCode="0.0%;\(0.0%\);\-"/>
    <numFmt numFmtId="166" formatCode="mmm/yy\ &quot;E&quot;"/>
    <numFmt numFmtId="167" formatCode="0.0%"/>
    <numFmt numFmtId="168" formatCode="&quot;₹&quot;\ #,##0;\(&quot;₹&quot;\ #,##0\)"/>
  </numFmts>
  <fonts count="2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i/>
      <sz val="10"/>
      <color rgb="FF59595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charset val="1"/>
    </font>
    <font>
      <b/>
      <sz val="11"/>
      <color theme="0"/>
      <name val="Calibri"/>
      <family val="2"/>
    </font>
    <font>
      <b/>
      <sz val="11"/>
      <color theme="1"/>
      <name val="Calibri"/>
      <family val="2"/>
      <charset val="1"/>
    </font>
    <font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0066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164" fontId="5" fillId="3" borderId="0" xfId="0" applyNumberFormat="1" applyFont="1" applyFill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7" fontId="7" fillId="5" borderId="0" xfId="0" applyNumberFormat="1" applyFont="1" applyFill="1"/>
    <xf numFmtId="0" fontId="7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/>
    <xf numFmtId="0" fontId="5" fillId="0" borderId="2" xfId="0" applyFont="1" applyBorder="1" applyAlignment="1">
      <alignment horizontal="left"/>
    </xf>
    <xf numFmtId="166" fontId="7" fillId="5" borderId="0" xfId="0" applyNumberFormat="1" applyFont="1" applyFill="1"/>
    <xf numFmtId="0" fontId="5" fillId="0" borderId="1" xfId="0" applyFont="1" applyBorder="1" applyAlignment="1">
      <alignment horizontal="left"/>
    </xf>
    <xf numFmtId="0" fontId="0" fillId="0" borderId="1" xfId="0" applyBorder="1"/>
    <xf numFmtId="0" fontId="9" fillId="4" borderId="0" xfId="0" applyFont="1" applyFill="1" applyAlignment="1">
      <alignment horizontal="left"/>
    </xf>
    <xf numFmtId="9" fontId="9" fillId="4" borderId="0" xfId="0" applyNumberFormat="1" applyFont="1" applyFill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9" fontId="9" fillId="0" borderId="0" xfId="0" applyNumberFormat="1" applyFont="1" applyAlignment="1">
      <alignment horizontal="right" vertical="center"/>
    </xf>
    <xf numFmtId="3" fontId="0" fillId="0" borderId="0" xfId="0" applyNumberFormat="1"/>
    <xf numFmtId="2" fontId="0" fillId="0" borderId="0" xfId="0" applyNumberFormat="1"/>
    <xf numFmtId="0" fontId="11" fillId="0" borderId="0" xfId="0" applyFont="1"/>
    <xf numFmtId="167" fontId="9" fillId="4" borderId="0" xfId="0" applyNumberFormat="1" applyFont="1" applyFill="1" applyAlignment="1">
      <alignment horizontal="right" vertical="center"/>
    </xf>
    <xf numFmtId="3" fontId="11" fillId="0" borderId="1" xfId="0" applyNumberFormat="1" applyFont="1" applyBorder="1"/>
    <xf numFmtId="9" fontId="9" fillId="4" borderId="0" xfId="0" applyNumberFormat="1" applyFont="1" applyFill="1" applyAlignment="1">
      <alignment horizontal="right"/>
    </xf>
    <xf numFmtId="2" fontId="11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168" fontId="4" fillId="0" borderId="0" xfId="0" applyNumberFormat="1" applyFont="1" applyAlignment="1">
      <alignment horizontal="right" vertical="center"/>
    </xf>
    <xf numFmtId="168" fontId="0" fillId="0" borderId="0" xfId="0" applyNumberFormat="1"/>
    <xf numFmtId="168" fontId="0" fillId="0" borderId="1" xfId="0" applyNumberFormat="1" applyBorder="1"/>
    <xf numFmtId="168" fontId="5" fillId="0" borderId="0" xfId="0" applyNumberFormat="1" applyFont="1" applyAlignment="1">
      <alignment horizontal="right" vertical="center"/>
    </xf>
    <xf numFmtId="168" fontId="10" fillId="0" borderId="3" xfId="0" applyNumberFormat="1" applyFont="1" applyBorder="1" applyAlignment="1">
      <alignment horizontal="left" vertical="center"/>
    </xf>
    <xf numFmtId="168" fontId="10" fillId="0" borderId="2" xfId="0" applyNumberFormat="1" applyFont="1" applyBorder="1" applyAlignment="1">
      <alignment horizontal="right" vertical="center"/>
    </xf>
    <xf numFmtId="168" fontId="5" fillId="0" borderId="2" xfId="0" applyNumberFormat="1" applyFont="1" applyBorder="1" applyAlignment="1">
      <alignment horizontal="right" vertical="center"/>
    </xf>
    <xf numFmtId="168" fontId="8" fillId="0" borderId="0" xfId="0" applyNumberFormat="1" applyFont="1"/>
    <xf numFmtId="168" fontId="8" fillId="0" borderId="2" xfId="0" applyNumberFormat="1" applyFont="1" applyBorder="1"/>
    <xf numFmtId="168" fontId="3" fillId="0" borderId="0" xfId="0" applyNumberFormat="1" applyFont="1" applyAlignment="1">
      <alignment horizontal="left"/>
    </xf>
    <xf numFmtId="168" fontId="0" fillId="0" borderId="0" xfId="0" applyNumberFormat="1" applyAlignment="1">
      <alignment horizontal="left"/>
    </xf>
    <xf numFmtId="168" fontId="5" fillId="0" borderId="1" xfId="0" applyNumberFormat="1" applyFont="1" applyBorder="1" applyAlignment="1">
      <alignment horizontal="right"/>
    </xf>
    <xf numFmtId="9" fontId="0" fillId="0" borderId="0" xfId="0" applyNumberFormat="1"/>
    <xf numFmtId="168" fontId="4" fillId="6" borderId="0" xfId="0" applyNumberFormat="1" applyFont="1" applyFill="1" applyAlignment="1">
      <alignment horizontal="right" vertical="center"/>
    </xf>
    <xf numFmtId="168" fontId="0" fillId="6" borderId="0" xfId="0" applyNumberFormat="1" applyFill="1"/>
    <xf numFmtId="0" fontId="0" fillId="6" borderId="0" xfId="0" applyFill="1"/>
    <xf numFmtId="167" fontId="0" fillId="0" borderId="0" xfId="0" applyNumberFormat="1"/>
    <xf numFmtId="6" fontId="0" fillId="0" borderId="0" xfId="0" applyNumberFormat="1"/>
    <xf numFmtId="168" fontId="10" fillId="0" borderId="1" xfId="0" applyNumberFormat="1" applyFont="1" applyBorder="1" applyAlignment="1">
      <alignment horizontal="right" vertical="center"/>
    </xf>
    <xf numFmtId="0" fontId="11" fillId="0" borderId="1" xfId="0" applyFont="1" applyBorder="1"/>
    <xf numFmtId="0" fontId="0" fillId="0" borderId="3" xfId="0" applyBorder="1"/>
    <xf numFmtId="0" fontId="11" fillId="0" borderId="3" xfId="0" applyFont="1" applyBorder="1"/>
    <xf numFmtId="0" fontId="11" fillId="0" borderId="2" xfId="0" applyFont="1" applyBorder="1"/>
    <xf numFmtId="168" fontId="11" fillId="0" borderId="2" xfId="0" applyNumberFormat="1" applyFont="1" applyBorder="1"/>
    <xf numFmtId="168" fontId="4" fillId="0" borderId="1" xfId="0" applyNumberFormat="1" applyFont="1" applyBorder="1" applyAlignment="1">
      <alignment horizontal="right" vertical="center"/>
    </xf>
    <xf numFmtId="167" fontId="12" fillId="0" borderId="0" xfId="0" applyNumberFormat="1" applyFont="1"/>
    <xf numFmtId="9" fontId="12" fillId="0" borderId="0" xfId="0" applyNumberFormat="1" applyFont="1"/>
    <xf numFmtId="9" fontId="13" fillId="4" borderId="0" xfId="0" applyNumberFormat="1" applyFont="1" applyFill="1" applyAlignment="1">
      <alignment horizontal="right"/>
    </xf>
    <xf numFmtId="9" fontId="3" fillId="0" borderId="0" xfId="0" applyNumberFormat="1" applyFont="1" applyAlignment="1">
      <alignment horizontal="left" vertical="center"/>
    </xf>
    <xf numFmtId="168" fontId="11" fillId="0" borderId="1" xfId="0" applyNumberFormat="1" applyFont="1" applyBorder="1"/>
    <xf numFmtId="1" fontId="0" fillId="0" borderId="0" xfId="0" applyNumberFormat="1"/>
    <xf numFmtId="0" fontId="8" fillId="0" borderId="1" xfId="0" applyFont="1" applyBorder="1"/>
    <xf numFmtId="168" fontId="14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/>
    <xf numFmtId="0" fontId="0" fillId="7" borderId="0" xfId="0" applyFill="1"/>
    <xf numFmtId="0" fontId="12" fillId="0" borderId="0" xfId="0" applyFont="1"/>
    <xf numFmtId="168" fontId="12" fillId="4" borderId="0" xfId="0" applyNumberFormat="1" applyFont="1" applyFill="1"/>
    <xf numFmtId="168" fontId="0" fillId="0" borderId="3" xfId="0" applyNumberFormat="1" applyBorder="1"/>
    <xf numFmtId="0" fontId="5" fillId="0" borderId="2" xfId="0" applyFont="1" applyBorder="1" applyAlignment="1">
      <alignment horizontal="left" vertical="center"/>
    </xf>
    <xf numFmtId="3" fontId="0" fillId="7" borderId="0" xfId="0" applyNumberFormat="1" applyFill="1"/>
    <xf numFmtId="168" fontId="0" fillId="7" borderId="0" xfId="0" applyNumberFormat="1" applyFill="1"/>
    <xf numFmtId="3" fontId="11" fillId="7" borderId="1" xfId="0" applyNumberFormat="1" applyFont="1" applyFill="1" applyBorder="1"/>
    <xf numFmtId="0" fontId="11" fillId="7" borderId="1" xfId="0" applyFont="1" applyFill="1" applyBorder="1"/>
    <xf numFmtId="0" fontId="0" fillId="8" borderId="0" xfId="0" applyFill="1"/>
    <xf numFmtId="0" fontId="15" fillId="8" borderId="0" xfId="0" applyFont="1" applyFill="1"/>
    <xf numFmtId="0" fontId="0" fillId="8" borderId="0" xfId="0" applyFill="1" applyAlignment="1">
      <alignment horizontal="left" indent="1"/>
    </xf>
    <xf numFmtId="0" fontId="15" fillId="8" borderId="0" xfId="0" applyFont="1" applyFill="1" applyAlignment="1">
      <alignment horizontal="left" indent="1"/>
    </xf>
    <xf numFmtId="164" fontId="5" fillId="9" borderId="0" xfId="0" applyNumberFormat="1" applyFont="1" applyFill="1" applyAlignment="1">
      <alignment horizontal="right" vertical="center"/>
    </xf>
    <xf numFmtId="0" fontId="5" fillId="9" borderId="0" xfId="0" applyFont="1" applyFill="1" applyAlignment="1">
      <alignment horizontal="left" vertical="center"/>
    </xf>
    <xf numFmtId="164" fontId="0" fillId="0" borderId="0" xfId="0" applyNumberFormat="1"/>
    <xf numFmtId="0" fontId="3" fillId="8" borderId="0" xfId="0" applyFont="1" applyFill="1" applyAlignment="1">
      <alignment horizontal="left" vertical="center"/>
    </xf>
    <xf numFmtId="164" fontId="4" fillId="8" borderId="0" xfId="0" applyNumberFormat="1" applyFont="1" applyFill="1" applyAlignment="1">
      <alignment horizontal="right" vertical="center"/>
    </xf>
    <xf numFmtId="165" fontId="4" fillId="8" borderId="0" xfId="0" applyNumberFormat="1" applyFont="1" applyFill="1" applyAlignment="1">
      <alignment horizontal="right"/>
    </xf>
    <xf numFmtId="0" fontId="5" fillId="8" borderId="0" xfId="0" applyFont="1" applyFill="1" applyAlignment="1">
      <alignment horizontal="left" vertical="center"/>
    </xf>
    <xf numFmtId="0" fontId="16" fillId="8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5" fillId="8" borderId="4" xfId="0" applyFont="1" applyFill="1" applyBorder="1"/>
    <xf numFmtId="0" fontId="8" fillId="0" borderId="4" xfId="0" applyFont="1" applyBorder="1"/>
    <xf numFmtId="168" fontId="8" fillId="0" borderId="4" xfId="0" applyNumberFormat="1" applyFont="1" applyBorder="1"/>
    <xf numFmtId="0" fontId="5" fillId="8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5" fillId="8" borderId="1" xfId="0" applyFont="1" applyFill="1" applyBorder="1"/>
    <xf numFmtId="164" fontId="5" fillId="9" borderId="1" xfId="0" applyNumberFormat="1" applyFont="1" applyFill="1" applyBorder="1" applyAlignment="1">
      <alignment horizontal="right" vertical="center"/>
    </xf>
    <xf numFmtId="0" fontId="15" fillId="8" borderId="4" xfId="0" applyFont="1" applyFill="1" applyBorder="1" applyAlignment="1">
      <alignment horizontal="left" indent="1"/>
    </xf>
    <xf numFmtId="168" fontId="11" fillId="0" borderId="0" xfId="0" applyNumberFormat="1" applyFont="1"/>
    <xf numFmtId="167" fontId="11" fillId="0" borderId="0" xfId="0" applyNumberFormat="1" applyFont="1"/>
    <xf numFmtId="0" fontId="7" fillId="0" borderId="0" xfId="0" applyFont="1" applyAlignment="1">
      <alignment horizontal="left"/>
    </xf>
    <xf numFmtId="0" fontId="17" fillId="0" borderId="0" xfId="1"/>
    <xf numFmtId="0" fontId="17" fillId="0" borderId="0" xfId="1" quotePrefix="1"/>
    <xf numFmtId="168" fontId="18" fillId="0" borderId="1" xfId="0" applyNumberFormat="1" applyFont="1" applyBorder="1"/>
    <xf numFmtId="9" fontId="12" fillId="0" borderId="1" xfId="0" applyNumberFormat="1" applyFont="1" applyBorder="1"/>
    <xf numFmtId="168" fontId="19" fillId="0" borderId="0" xfId="0" applyNumberFormat="1" applyFont="1"/>
    <xf numFmtId="167" fontId="11" fillId="11" borderId="5" xfId="0" applyNumberFormat="1" applyFont="1" applyFill="1" applyBorder="1"/>
    <xf numFmtId="168" fontId="11" fillId="12" borderId="5" xfId="0" applyNumberFormat="1" applyFont="1" applyFill="1" applyBorder="1"/>
    <xf numFmtId="167" fontId="11" fillId="12" borderId="5" xfId="0" applyNumberFormat="1" applyFont="1" applyFill="1" applyBorder="1"/>
    <xf numFmtId="168" fontId="0" fillId="13" borderId="5" xfId="0" applyNumberFormat="1" applyFill="1" applyBorder="1"/>
    <xf numFmtId="168" fontId="11" fillId="11" borderId="5" xfId="0" applyNumberFormat="1" applyFont="1" applyFill="1" applyBorder="1"/>
    <xf numFmtId="0" fontId="7" fillId="5" borderId="0" xfId="0" applyFon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1D41-D364-4856-BA79-90B7817072BB}">
  <sheetPr>
    <tabColor theme="5" tint="-0.249977111117893"/>
    <pageSetUpPr fitToPage="1"/>
  </sheetPr>
  <dimension ref="B1:K16"/>
  <sheetViews>
    <sheetView showGridLines="0" workbookViewId="0">
      <selection activeCell="D17" sqref="D17"/>
    </sheetView>
  </sheetViews>
  <sheetFormatPr defaultRowHeight="14.5" x14ac:dyDescent="0.35"/>
  <cols>
    <col min="1" max="1" width="1.81640625" customWidth="1"/>
    <col min="2" max="11" width="15.6328125" customWidth="1"/>
  </cols>
  <sheetData>
    <row r="1" spans="2:11" x14ac:dyDescent="0.35">
      <c r="B1" s="118" t="s">
        <v>12</v>
      </c>
      <c r="C1" s="118"/>
      <c r="D1" s="118"/>
      <c r="E1" s="118"/>
      <c r="F1" s="118"/>
      <c r="G1" s="118"/>
      <c r="H1" s="118"/>
      <c r="I1" s="118"/>
      <c r="J1" s="118"/>
      <c r="K1" s="118"/>
    </row>
    <row r="3" spans="2:11" x14ac:dyDescent="0.35">
      <c r="B3" s="26" t="s">
        <v>176</v>
      </c>
      <c r="C3" s="101" t="s">
        <v>176</v>
      </c>
    </row>
    <row r="5" spans="2:11" x14ac:dyDescent="0.35">
      <c r="B5" s="118" t="s">
        <v>177</v>
      </c>
      <c r="C5" s="118"/>
      <c r="D5" s="118"/>
      <c r="E5" s="118"/>
      <c r="F5" s="118"/>
      <c r="G5" s="118"/>
      <c r="H5" s="118"/>
      <c r="I5" s="118"/>
      <c r="J5" s="118"/>
      <c r="K5" s="118"/>
    </row>
    <row r="7" spans="2:11" x14ac:dyDescent="0.35">
      <c r="B7" s="26" t="s">
        <v>178</v>
      </c>
      <c r="C7" s="102" t="s">
        <v>185</v>
      </c>
    </row>
    <row r="8" spans="2:11" x14ac:dyDescent="0.35">
      <c r="B8" s="26" t="s">
        <v>179</v>
      </c>
      <c r="C8" s="102" t="s">
        <v>186</v>
      </c>
    </row>
    <row r="10" spans="2:11" x14ac:dyDescent="0.35">
      <c r="B10" s="118" t="s">
        <v>180</v>
      </c>
      <c r="C10" s="118"/>
      <c r="D10" s="118"/>
      <c r="E10" s="118"/>
      <c r="F10" s="118"/>
      <c r="G10" s="118"/>
      <c r="H10" s="118"/>
      <c r="I10" s="118"/>
      <c r="J10" s="118"/>
      <c r="K10" s="118"/>
    </row>
    <row r="12" spans="2:11" x14ac:dyDescent="0.35">
      <c r="B12" s="26" t="s">
        <v>181</v>
      </c>
      <c r="C12" s="102" t="s">
        <v>187</v>
      </c>
    </row>
    <row r="13" spans="2:11" x14ac:dyDescent="0.35">
      <c r="B13" s="26" t="s">
        <v>182</v>
      </c>
      <c r="C13" s="102" t="s">
        <v>182</v>
      </c>
    </row>
    <row r="14" spans="2:11" x14ac:dyDescent="0.35">
      <c r="B14" s="26" t="s">
        <v>183</v>
      </c>
      <c r="C14" s="102" t="s">
        <v>183</v>
      </c>
    </row>
    <row r="15" spans="2:11" x14ac:dyDescent="0.35">
      <c r="B15" s="26"/>
    </row>
    <row r="16" spans="2:11" x14ac:dyDescent="0.35">
      <c r="B16" s="26" t="s">
        <v>184</v>
      </c>
      <c r="C16" s="101" t="s">
        <v>184</v>
      </c>
    </row>
  </sheetData>
  <mergeCells count="3">
    <mergeCell ref="B1:K1"/>
    <mergeCell ref="B5:K5"/>
    <mergeCell ref="B10:K10"/>
  </mergeCells>
  <hyperlinks>
    <hyperlink ref="C3" location="Assumptions!A1" display="Assumptions" xr:uid="{0B9D5EE0-F533-4996-B560-F1232567FC1D}"/>
    <hyperlink ref="C7" location="'Asset schedule'!A1" display="'Asset schedule'" xr:uid="{767032DA-F557-4819-93BD-FC6D76758E8A}"/>
    <hyperlink ref="C8" location="'Equity Schedule'!A1" display="'Equity Schedule'" xr:uid="{33513FB9-344A-4B18-9960-70866C05FBB6}"/>
    <hyperlink ref="C12" location="'P&amp;L'!A1" display="'P&amp;L" xr:uid="{3B9C0734-59D0-4C8C-9047-4BC618D03222}"/>
    <hyperlink ref="C13" location="'Balance Sheet'!A1" display="'Balance Sheet" xr:uid="{7B8892B6-3C00-4366-8776-27903C0A437D}"/>
    <hyperlink ref="C14" location="'Cash Flow'!A1" display="'Cash Flow" xr:uid="{8FFF5F4D-B3B2-4187-A9A8-5DC03551006B}"/>
    <hyperlink ref="C16" location="Valuation!A1" display="Valuation" xr:uid="{0C704825-BA7F-4597-82D9-65477193F36B}"/>
  </hyperlinks>
  <pageMargins left="0.25" right="0.25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CEF0-7A85-489A-AC22-5F894F8F0703}">
  <sheetPr>
    <pageSetUpPr fitToPage="1"/>
  </sheetPr>
  <dimension ref="A1:L68"/>
  <sheetViews>
    <sheetView showGridLines="0" zoomScale="62" workbookViewId="0">
      <pane xSplit="2" ySplit="3" topLeftCell="C55" activePane="bottomRight" state="frozen"/>
      <selection pane="topRight" activeCell="C1" sqref="C1"/>
      <selection pane="bottomLeft" activeCell="A3" sqref="A3"/>
      <selection pane="bottomRight" activeCell="D74" sqref="D74"/>
    </sheetView>
  </sheetViews>
  <sheetFormatPr defaultRowHeight="14.5" x14ac:dyDescent="0.35"/>
  <cols>
    <col min="1" max="1" width="1.81640625" customWidth="1"/>
    <col min="2" max="2" width="35" bestFit="1" customWidth="1"/>
    <col min="3" max="3" width="24.54296875" customWidth="1"/>
    <col min="4" max="7" width="16.54296875" customWidth="1"/>
    <col min="8" max="8" width="13.81640625" customWidth="1"/>
    <col min="9" max="11" width="16.54296875" customWidth="1"/>
  </cols>
  <sheetData>
    <row r="1" spans="1:12" ht="20.5" customHeight="1" x14ac:dyDescent="0.35">
      <c r="A1" s="118" t="s">
        <v>159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2" x14ac:dyDescent="0.3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</row>
    <row r="3" spans="1:12" x14ac:dyDescent="0.35">
      <c r="B3" s="10" t="s">
        <v>1</v>
      </c>
      <c r="C3" s="9">
        <v>45016</v>
      </c>
      <c r="D3" s="9">
        <v>45382</v>
      </c>
      <c r="E3" s="9">
        <v>45747</v>
      </c>
      <c r="F3" s="9">
        <v>46112</v>
      </c>
      <c r="G3" s="16">
        <v>46477</v>
      </c>
      <c r="H3" s="16">
        <v>46843</v>
      </c>
      <c r="I3" s="16">
        <v>47208</v>
      </c>
      <c r="J3" s="16">
        <v>47573</v>
      </c>
      <c r="K3" s="16">
        <v>47938</v>
      </c>
    </row>
    <row r="4" spans="1:12" x14ac:dyDescent="0.35">
      <c r="B4" s="26" t="s">
        <v>2</v>
      </c>
      <c r="C4" s="26"/>
    </row>
    <row r="5" spans="1:12" x14ac:dyDescent="0.35">
      <c r="B5" t="s">
        <v>3</v>
      </c>
      <c r="C5" s="33">
        <v>614795</v>
      </c>
      <c r="D5" s="33">
        <v>601546</v>
      </c>
      <c r="E5" s="33">
        <v>607979</v>
      </c>
      <c r="F5" s="33">
        <v>584519</v>
      </c>
      <c r="G5" s="34">
        <f>F5*(1+G6)</f>
        <v>590364.19000000006</v>
      </c>
      <c r="H5" s="34">
        <f t="shared" ref="H5:K5" si="0">G5*(1+H6)</f>
        <v>599219.65284999995</v>
      </c>
      <c r="I5" s="34">
        <f t="shared" si="0"/>
        <v>611204.04590699996</v>
      </c>
      <c r="J5" s="34">
        <f t="shared" si="0"/>
        <v>623428.12682513997</v>
      </c>
      <c r="K5" s="34">
        <f t="shared" si="0"/>
        <v>635896.68936164281</v>
      </c>
    </row>
    <row r="6" spans="1:12" x14ac:dyDescent="0.35">
      <c r="B6" s="19" t="s">
        <v>4</v>
      </c>
      <c r="C6" s="19"/>
      <c r="D6" s="27">
        <f>D5/C5-1</f>
        <v>-2.1550272855179409E-2</v>
      </c>
      <c r="E6" s="27">
        <f t="shared" ref="E6" si="1">E5/D5-1</f>
        <v>1.069411150601951E-2</v>
      </c>
      <c r="F6" s="27">
        <f>F5/E5-1</f>
        <v>-3.858685908559345E-2</v>
      </c>
      <c r="G6" s="20">
        <v>0.01</v>
      </c>
      <c r="H6" s="27">
        <f>MIN(G6+0.5%,2%)</f>
        <v>1.4999999999999999E-2</v>
      </c>
      <c r="I6" s="27">
        <f t="shared" ref="I6:K6" si="2">MIN(H6+0.5%,2%)</f>
        <v>0.02</v>
      </c>
      <c r="J6" s="27">
        <f t="shared" si="2"/>
        <v>0.02</v>
      </c>
      <c r="K6" s="27">
        <f t="shared" si="2"/>
        <v>0.02</v>
      </c>
    </row>
    <row r="7" spans="1:12" x14ac:dyDescent="0.35">
      <c r="B7" t="s">
        <v>5</v>
      </c>
      <c r="C7" s="30">
        <f>'P&amp;L'!C7/Assumptions!C5</f>
        <v>0.36672061418846935</v>
      </c>
      <c r="D7" s="30">
        <f>'P&amp;L'!D4/Assumptions!D5</f>
        <v>0.40045649044295867</v>
      </c>
      <c r="E7" s="30">
        <f>'P&amp;L'!E4/Assumptions!E5</f>
        <v>0.41995529450852742</v>
      </c>
      <c r="F7" s="30">
        <f>'P&amp;L'!F4/Assumptions!F5</f>
        <v>0.45682176285116483</v>
      </c>
      <c r="G7" s="25">
        <f>F7*(1+G8)</f>
        <v>0.49161201279977845</v>
      </c>
      <c r="H7" s="25">
        <f>G7*(1+H8)</f>
        <v>0.52905178952210086</v>
      </c>
      <c r="I7" s="25">
        <f t="shared" ref="I7:K7" si="3">H7*(1+I8)</f>
        <v>0.56934287346337087</v>
      </c>
      <c r="J7" s="25">
        <f t="shared" si="3"/>
        <v>0.61270241209530329</v>
      </c>
      <c r="K7" s="25">
        <f t="shared" si="3"/>
        <v>0.659364090225246</v>
      </c>
    </row>
    <row r="8" spans="1:12" x14ac:dyDescent="0.35">
      <c r="B8" s="19" t="s">
        <v>4</v>
      </c>
      <c r="C8" s="19"/>
      <c r="D8" s="27">
        <f>D7/C7-1</f>
        <v>9.1993400286877192E-2</v>
      </c>
      <c r="E8" s="27">
        <f t="shared" ref="E8:F8" si="4">E7/D7-1</f>
        <v>4.8691442218854908E-2</v>
      </c>
      <c r="F8" s="27">
        <f t="shared" si="4"/>
        <v>8.7786649733234468E-2</v>
      </c>
      <c r="G8" s="27">
        <f>AVERAGE(D8:F8)</f>
        <v>7.6157164079655518E-2</v>
      </c>
      <c r="H8" s="27">
        <f>G8</f>
        <v>7.6157164079655518E-2</v>
      </c>
      <c r="I8" s="27">
        <f t="shared" ref="I8:K8" si="5">H8</f>
        <v>7.6157164079655518E-2</v>
      </c>
      <c r="J8" s="27">
        <f t="shared" si="5"/>
        <v>7.6157164079655518E-2</v>
      </c>
      <c r="K8" s="27">
        <f t="shared" si="5"/>
        <v>7.6157164079655518E-2</v>
      </c>
    </row>
    <row r="9" spans="1:12" x14ac:dyDescent="0.35">
      <c r="B9" s="18" t="s">
        <v>6</v>
      </c>
      <c r="C9" s="28">
        <f>'P&amp;L'!C7</f>
        <v>225458</v>
      </c>
      <c r="D9" s="62">
        <f>D5*D7</f>
        <v>240893.00000000003</v>
      </c>
      <c r="E9" s="62">
        <f t="shared" ref="E9:F9" si="6">E5*E7</f>
        <v>255324</v>
      </c>
      <c r="F9" s="62">
        <f t="shared" si="6"/>
        <v>267021</v>
      </c>
      <c r="G9" s="62">
        <f>G5*G7</f>
        <v>290230.12773081084</v>
      </c>
      <c r="H9" s="62">
        <f t="shared" ref="H9:K9" si="7">H5*H7</f>
        <v>317018.22965710453</v>
      </c>
      <c r="I9" s="62">
        <f t="shared" si="7"/>
        <v>347984.66776912939</v>
      </c>
      <c r="J9" s="62">
        <f t="shared" si="7"/>
        <v>381975.9170738199</v>
      </c>
      <c r="K9" s="62">
        <f t="shared" si="7"/>
        <v>419287.44205818546</v>
      </c>
    </row>
    <row r="10" spans="1:12" x14ac:dyDescent="0.35">
      <c r="B10" t="s">
        <v>23</v>
      </c>
      <c r="C10" s="33">
        <v>3449</v>
      </c>
      <c r="D10" s="33">
        <v>4422</v>
      </c>
      <c r="E10" s="33">
        <v>3962</v>
      </c>
      <c r="F10" s="33">
        <v>4402</v>
      </c>
      <c r="G10" s="34">
        <f>G9*G11</f>
        <v>4871.9800663420319</v>
      </c>
      <c r="H10" s="34">
        <f t="shared" ref="H10:K10" si="8">H9*H11</f>
        <v>5321.6614954219613</v>
      </c>
      <c r="I10" s="34">
        <f t="shared" si="8"/>
        <v>5841.4830259672999</v>
      </c>
      <c r="J10" s="34">
        <f t="shared" si="8"/>
        <v>6412.0808833893016</v>
      </c>
      <c r="K10" s="34">
        <f t="shared" si="8"/>
        <v>7038.4149149039558</v>
      </c>
    </row>
    <row r="11" spans="1:12" x14ac:dyDescent="0.35">
      <c r="B11" t="s">
        <v>9</v>
      </c>
      <c r="C11" s="45">
        <f>C10/C9</f>
        <v>1.5297749469967798E-2</v>
      </c>
      <c r="D11" s="45">
        <f t="shared" ref="D11:F11" si="9">D10/D9</f>
        <v>1.8356697786984261E-2</v>
      </c>
      <c r="E11" s="45">
        <f t="shared" si="9"/>
        <v>1.5517538500101831E-2</v>
      </c>
      <c r="F11" s="45">
        <f t="shared" si="9"/>
        <v>1.6485594765954736E-2</v>
      </c>
      <c r="G11" s="59">
        <f>AVERAGE(D11:F11)</f>
        <v>1.6786610351013611E-2</v>
      </c>
      <c r="H11" s="59">
        <f>G11</f>
        <v>1.6786610351013611E-2</v>
      </c>
      <c r="I11" s="59">
        <f t="shared" ref="I11:K11" si="10">H11</f>
        <v>1.6786610351013611E-2</v>
      </c>
      <c r="J11" s="59">
        <f t="shared" si="10"/>
        <v>1.6786610351013611E-2</v>
      </c>
      <c r="K11" s="59">
        <f t="shared" si="10"/>
        <v>1.6786610351013611E-2</v>
      </c>
    </row>
    <row r="12" spans="1:12" x14ac:dyDescent="0.35">
      <c r="B12" s="111" t="s">
        <v>7</v>
      </c>
      <c r="C12" s="111"/>
      <c r="D12" s="111"/>
      <c r="E12" s="111"/>
      <c r="F12" s="111"/>
      <c r="G12" s="111"/>
      <c r="H12" s="111"/>
      <c r="I12" s="111"/>
      <c r="J12" s="111"/>
      <c r="K12" s="111"/>
    </row>
    <row r="14" spans="1:12" x14ac:dyDescent="0.35">
      <c r="B14" s="12" t="s">
        <v>8</v>
      </c>
      <c r="C14" s="33">
        <v>127522</v>
      </c>
      <c r="D14" s="33">
        <v>140131</v>
      </c>
      <c r="E14" s="33">
        <v>145788</v>
      </c>
      <c r="F14" s="33">
        <v>154994</v>
      </c>
      <c r="G14" s="34">
        <f>G9*G15</f>
        <v>166793.52613712943</v>
      </c>
      <c r="H14" s="34">
        <f t="shared" ref="H14:K14" si="11">H9*H15</f>
        <v>182188.48879569778</v>
      </c>
      <c r="I14" s="34">
        <f t="shared" si="11"/>
        <v>199984.71637894292</v>
      </c>
      <c r="J14" s="34">
        <f t="shared" si="11"/>
        <v>219519.28494239019</v>
      </c>
      <c r="K14" s="34">
        <f t="shared" si="11"/>
        <v>240961.99616728438</v>
      </c>
    </row>
    <row r="15" spans="1:12" x14ac:dyDescent="0.35">
      <c r="B15" s="19" t="s">
        <v>9</v>
      </c>
      <c r="C15" s="29">
        <f>C14/C9</f>
        <v>0.56561310754109417</v>
      </c>
      <c r="D15" s="29">
        <f t="shared" ref="D15:F15" si="12">D14/D9</f>
        <v>0.5817147032084784</v>
      </c>
      <c r="E15" s="29">
        <f t="shared" si="12"/>
        <v>0.57099215114912816</v>
      </c>
      <c r="F15" s="29">
        <f t="shared" si="12"/>
        <v>0.58045621879927045</v>
      </c>
      <c r="G15" s="60">
        <f>AVERAGE(C15:F15)</f>
        <v>0.57469404517449285</v>
      </c>
      <c r="H15" s="60">
        <f>G15</f>
        <v>0.57469404517449285</v>
      </c>
      <c r="I15" s="60">
        <f t="shared" ref="I15:K15" si="13">H15</f>
        <v>0.57469404517449285</v>
      </c>
      <c r="J15" s="60">
        <f t="shared" si="13"/>
        <v>0.57469404517449285</v>
      </c>
      <c r="K15" s="60">
        <f t="shared" si="13"/>
        <v>0.57469404517449285</v>
      </c>
      <c r="L15" s="6"/>
    </row>
    <row r="16" spans="1:12" x14ac:dyDescent="0.35">
      <c r="B16" s="12" t="s">
        <v>10</v>
      </c>
      <c r="C16" s="33">
        <v>1881</v>
      </c>
      <c r="D16" s="33">
        <v>3702</v>
      </c>
      <c r="E16" s="33">
        <v>11648</v>
      </c>
      <c r="F16" s="33">
        <v>4399</v>
      </c>
      <c r="G16" s="34">
        <f>G9*G17</f>
        <v>7493.9977983802319</v>
      </c>
      <c r="H16" s="34">
        <f t="shared" ref="H16:K16" si="14">H9*H17</f>
        <v>8185.6902095989126</v>
      </c>
      <c r="I16" s="34">
        <f t="shared" si="14"/>
        <v>8985.2709452364979</v>
      </c>
      <c r="J16" s="34">
        <f t="shared" si="14"/>
        <v>9862.9549728912953</v>
      </c>
      <c r="K16" s="34">
        <f t="shared" si="14"/>
        <v>10826.371446133473</v>
      </c>
    </row>
    <row r="17" spans="2:11" x14ac:dyDescent="0.35">
      <c r="B17" s="19" t="s">
        <v>9</v>
      </c>
      <c r="C17" s="29">
        <f>C16/C9</f>
        <v>8.3430173247345408E-3</v>
      </c>
      <c r="D17" s="29">
        <f>D16/D9</f>
        <v>1.5367818907149645E-2</v>
      </c>
      <c r="E17" s="29">
        <f t="shared" ref="E17:F17" si="15">E16/E9</f>
        <v>4.5620466544468989E-2</v>
      </c>
      <c r="F17" s="29">
        <f t="shared" si="15"/>
        <v>1.6474359694555858E-2</v>
      </c>
      <c r="G17" s="60">
        <f>AVERAGE(D17:F17)</f>
        <v>2.5820881715391496E-2</v>
      </c>
      <c r="H17" s="60">
        <f>G17</f>
        <v>2.5820881715391496E-2</v>
      </c>
      <c r="I17" s="60">
        <f t="shared" ref="I17:K17" si="16">H17</f>
        <v>2.5820881715391496E-2</v>
      </c>
      <c r="J17" s="60">
        <f t="shared" si="16"/>
        <v>2.5820881715391496E-2</v>
      </c>
      <c r="K17" s="60">
        <f t="shared" si="16"/>
        <v>2.5820881715391496E-2</v>
      </c>
    </row>
    <row r="18" spans="2:11" x14ac:dyDescent="0.35">
      <c r="B18" s="12" t="s">
        <v>11</v>
      </c>
      <c r="C18" s="33">
        <v>36796</v>
      </c>
      <c r="D18" s="33">
        <v>32764</v>
      </c>
      <c r="E18" s="33">
        <v>30481</v>
      </c>
      <c r="F18" s="33">
        <v>35230</v>
      </c>
      <c r="G18" s="34">
        <f>G9*G19</f>
        <v>36020.406085501651</v>
      </c>
      <c r="H18" s="34">
        <f t="shared" ref="H18:K18" si="17">H9*H19</f>
        <v>37759.981184615062</v>
      </c>
      <c r="I18" s="34">
        <f t="shared" si="17"/>
        <v>39708.464413837573</v>
      </c>
      <c r="J18" s="34">
        <f t="shared" si="17"/>
        <v>41677.319837255331</v>
      </c>
      <c r="K18" s="34">
        <f t="shared" si="17"/>
        <v>43651.936038660569</v>
      </c>
    </row>
    <row r="19" spans="2:11" x14ac:dyDescent="0.35">
      <c r="B19" s="19" t="s">
        <v>9</v>
      </c>
      <c r="C19" s="29">
        <f>C18/C9</f>
        <v>0.16320556378571618</v>
      </c>
      <c r="D19" s="29">
        <f t="shared" ref="D19:F19" si="18">D18/D9</f>
        <v>0.13601059391514073</v>
      </c>
      <c r="E19" s="29">
        <f t="shared" si="18"/>
        <v>0.11938164841534678</v>
      </c>
      <c r="F19" s="29">
        <f t="shared" si="18"/>
        <v>0.13193718846083266</v>
      </c>
      <c r="G19" s="60">
        <f>AVERAGE(D19:F19)-0.5%</f>
        <v>0.12410981026377341</v>
      </c>
      <c r="H19" s="60">
        <f>G19-0.5%</f>
        <v>0.1191098102637734</v>
      </c>
      <c r="I19" s="60">
        <f t="shared" ref="I19:K19" si="19">H19-0.5%</f>
        <v>0.1141098102637734</v>
      </c>
      <c r="J19" s="60">
        <f t="shared" si="19"/>
        <v>0.10910981026377339</v>
      </c>
      <c r="K19" s="60">
        <f t="shared" si="19"/>
        <v>0.10410981026377339</v>
      </c>
    </row>
    <row r="20" spans="2:11" x14ac:dyDescent="0.35">
      <c r="B20" s="19"/>
      <c r="C20" s="29"/>
      <c r="D20" s="29"/>
      <c r="E20" s="29"/>
      <c r="F20" s="29"/>
      <c r="G20" s="60"/>
      <c r="H20" s="60"/>
      <c r="I20" s="60"/>
      <c r="J20" s="60"/>
      <c r="K20" s="60"/>
    </row>
    <row r="21" spans="2:11" x14ac:dyDescent="0.35">
      <c r="B21" s="52" t="s">
        <v>133</v>
      </c>
      <c r="C21" s="104">
        <v>0.1</v>
      </c>
    </row>
    <row r="24" spans="2:11" x14ac:dyDescent="0.35">
      <c r="B24" t="s">
        <v>132</v>
      </c>
      <c r="C24" s="49"/>
      <c r="D24" s="49"/>
      <c r="E24" s="49"/>
      <c r="F24" s="49"/>
      <c r="G24" s="49"/>
      <c r="H24" s="49"/>
      <c r="I24" s="49"/>
      <c r="J24" s="49"/>
      <c r="K24" s="49"/>
    </row>
    <row r="25" spans="2:11" x14ac:dyDescent="0.35">
      <c r="B25" s="26" t="s">
        <v>102</v>
      </c>
      <c r="C25" s="49"/>
      <c r="D25" s="49"/>
      <c r="E25" s="49"/>
      <c r="F25" s="49"/>
      <c r="G25" s="49"/>
      <c r="H25" s="49"/>
      <c r="I25" s="49"/>
      <c r="J25" s="49"/>
      <c r="K25" s="49"/>
    </row>
    <row r="26" spans="2:11" x14ac:dyDescent="0.35">
      <c r="B26" t="s">
        <v>101</v>
      </c>
      <c r="C26" s="33">
        <v>2892</v>
      </c>
      <c r="D26" s="33">
        <v>2790</v>
      </c>
      <c r="E26" s="33">
        <v>2695</v>
      </c>
      <c r="F26" s="33">
        <v>2641</v>
      </c>
      <c r="G26" s="34">
        <f>'Asset schedule'!G15</f>
        <v>2664.6009741944381</v>
      </c>
      <c r="H26" s="34">
        <f>'Asset schedule'!H15</f>
        <v>2584.4384076634806</v>
      </c>
      <c r="I26" s="34">
        <f>'Asset schedule'!I15</f>
        <v>2495.9418263457392</v>
      </c>
      <c r="J26" s="34">
        <f>'Asset schedule'!J15</f>
        <v>2397.7483525952589</v>
      </c>
      <c r="K26" s="34">
        <f>'Asset schedule'!K15</f>
        <v>2288.0955615020071</v>
      </c>
    </row>
    <row r="27" spans="2:11" x14ac:dyDescent="0.35">
      <c r="B27" t="s">
        <v>96</v>
      </c>
      <c r="C27" s="33">
        <v>1634</v>
      </c>
      <c r="D27" s="33">
        <v>1716</v>
      </c>
      <c r="E27" s="33">
        <v>1820</v>
      </c>
      <c r="F27" s="33">
        <v>1866</v>
      </c>
      <c r="G27" s="34">
        <f>F27</f>
        <v>1866</v>
      </c>
      <c r="H27" s="34">
        <f t="shared" ref="H27:K27" si="20">G27</f>
        <v>1866</v>
      </c>
      <c r="I27" s="34">
        <f t="shared" si="20"/>
        <v>1866</v>
      </c>
      <c r="J27" s="34">
        <f t="shared" si="20"/>
        <v>1866</v>
      </c>
      <c r="K27" s="34">
        <f t="shared" si="20"/>
        <v>1866</v>
      </c>
    </row>
    <row r="28" spans="2:11" x14ac:dyDescent="0.35">
      <c r="B28" t="s">
        <v>103</v>
      </c>
      <c r="C28" s="33">
        <v>496</v>
      </c>
      <c r="D28" s="33">
        <v>479</v>
      </c>
      <c r="E28" s="33">
        <v>727</v>
      </c>
      <c r="F28" s="33">
        <v>1053</v>
      </c>
      <c r="G28" s="34">
        <f>'Asset schedule'!G39</f>
        <v>110</v>
      </c>
      <c r="H28" s="34">
        <f>'Asset schedule'!H39</f>
        <v>87</v>
      </c>
      <c r="I28" s="34">
        <f>'Asset schedule'!I39</f>
        <v>67</v>
      </c>
      <c r="J28" s="34">
        <f>'Asset schedule'!J39</f>
        <v>45</v>
      </c>
      <c r="K28" s="34">
        <f>'Asset schedule'!K39</f>
        <v>40</v>
      </c>
    </row>
    <row r="29" spans="2:11" x14ac:dyDescent="0.35">
      <c r="C29" s="62">
        <f>SUM(C26:C28)</f>
        <v>5022</v>
      </c>
      <c r="D29" s="62">
        <f t="shared" ref="D29:G29" si="21">SUM(D26:D28)</f>
        <v>4985</v>
      </c>
      <c r="E29" s="62">
        <f t="shared" si="21"/>
        <v>5242</v>
      </c>
      <c r="F29" s="62">
        <f t="shared" si="21"/>
        <v>5560</v>
      </c>
      <c r="G29" s="62">
        <f t="shared" si="21"/>
        <v>4640.6009741944381</v>
      </c>
      <c r="H29" s="62">
        <f t="shared" ref="H29" si="22">SUM(H26:H28)</f>
        <v>4537.4384076634806</v>
      </c>
      <c r="I29" s="62">
        <f t="shared" ref="I29" si="23">SUM(I26:I28)</f>
        <v>4428.9418263457392</v>
      </c>
      <c r="J29" s="62">
        <f t="shared" ref="J29" si="24">SUM(J26:J28)</f>
        <v>4308.7483525952593</v>
      </c>
      <c r="K29" s="62">
        <f t="shared" ref="K29" si="25">SUM(K26:K28)</f>
        <v>4194.0955615020066</v>
      </c>
    </row>
    <row r="30" spans="2:11" x14ac:dyDescent="0.35">
      <c r="C30" s="33"/>
      <c r="D30" s="33"/>
      <c r="E30" s="33"/>
      <c r="F30" s="33"/>
      <c r="G30" s="34"/>
      <c r="H30" s="34"/>
      <c r="I30" s="34"/>
      <c r="J30" s="34"/>
      <c r="K30" s="34"/>
    </row>
    <row r="31" spans="2:11" x14ac:dyDescent="0.35">
      <c r="B31" s="26" t="s">
        <v>104</v>
      </c>
      <c r="C31" s="49"/>
      <c r="D31" s="49"/>
      <c r="E31" s="49"/>
      <c r="F31" s="49"/>
    </row>
    <row r="32" spans="2:11" x14ac:dyDescent="0.35">
      <c r="B32" t="s">
        <v>72</v>
      </c>
      <c r="C32" s="45">
        <f>'P&amp;L'!C30/'P&amp;L'!C26</f>
        <v>0.25662923717644576</v>
      </c>
      <c r="D32" s="45">
        <f>'P&amp;L'!D30/'P&amp;L'!D26</f>
        <v>0.25643176282723357</v>
      </c>
      <c r="E32" s="45">
        <f>'P&amp;L'!E30/'P&amp;L'!E26</f>
        <v>0.25308046715954141</v>
      </c>
      <c r="F32" s="45">
        <f>'P&amp;L'!F30/'P&amp;L'!F26</f>
        <v>0.24482721761571</v>
      </c>
      <c r="G32" s="59">
        <f>AVERAGE(C32:F32)</f>
        <v>0.25274217119473269</v>
      </c>
      <c r="H32" s="59">
        <f>G32</f>
        <v>0.25274217119473269</v>
      </c>
      <c r="I32" s="59">
        <f t="shared" ref="I32:K32" si="26">H32</f>
        <v>0.25274217119473269</v>
      </c>
      <c r="J32" s="59">
        <f t="shared" si="26"/>
        <v>0.25274217119473269</v>
      </c>
      <c r="K32" s="59">
        <f t="shared" si="26"/>
        <v>0.25274217119473269</v>
      </c>
    </row>
    <row r="33" spans="2:11" x14ac:dyDescent="0.35">
      <c r="B33" s="111" t="s">
        <v>93</v>
      </c>
      <c r="C33" s="111"/>
      <c r="D33" s="111"/>
      <c r="E33" s="111"/>
      <c r="F33" s="111"/>
      <c r="G33" s="111"/>
      <c r="H33" s="111"/>
      <c r="I33" s="111"/>
      <c r="J33" s="111"/>
      <c r="K33" s="111"/>
    </row>
    <row r="34" spans="2:11" x14ac:dyDescent="0.35">
      <c r="B34" t="s">
        <v>85</v>
      </c>
      <c r="C34" s="33">
        <v>2892</v>
      </c>
      <c r="D34" s="33">
        <v>2790</v>
      </c>
      <c r="E34" s="33">
        <v>2695</v>
      </c>
      <c r="F34" s="33">
        <v>2641</v>
      </c>
    </row>
    <row r="35" spans="2:11" x14ac:dyDescent="0.35">
      <c r="B35" s="18" t="s">
        <v>86</v>
      </c>
      <c r="C35" s="18"/>
      <c r="D35" s="62">
        <f>('Asset schedule'!C9+'Asset schedule'!D9)/2</f>
        <v>33098.5</v>
      </c>
      <c r="E35" s="62">
        <f>('Asset schedule'!D9+'Asset schedule'!E9)/2</f>
        <v>35565</v>
      </c>
      <c r="F35" s="62">
        <f>('Asset schedule'!E9+'Asset schedule'!F9)/2</f>
        <v>38242.5</v>
      </c>
      <c r="G35" s="18"/>
      <c r="H35" s="18"/>
      <c r="I35" s="18"/>
      <c r="J35" s="18"/>
      <c r="K35" s="18"/>
    </row>
    <row r="36" spans="2:11" x14ac:dyDescent="0.35">
      <c r="B36" t="s">
        <v>87</v>
      </c>
      <c r="D36" s="49">
        <f>D34/D35</f>
        <v>8.4293850174479212E-2</v>
      </c>
      <c r="E36" s="49">
        <f t="shared" ref="E36:F36" si="27">E34/E35</f>
        <v>7.5776746801630823E-2</v>
      </c>
      <c r="F36" s="49">
        <f t="shared" si="27"/>
        <v>6.9059292671765707E-2</v>
      </c>
      <c r="G36" s="58">
        <f>AVERAGE(D36:F36)-1%</f>
        <v>6.6376629882625243E-2</v>
      </c>
      <c r="H36" s="58">
        <f>(G36)-0.5%</f>
        <v>6.1376629882625246E-2</v>
      </c>
      <c r="I36" s="58">
        <f t="shared" ref="I36:K36" si="28">(H36)-0.5%</f>
        <v>5.6376629882625248E-2</v>
      </c>
      <c r="J36" s="58">
        <f t="shared" si="28"/>
        <v>5.1376629882625251E-2</v>
      </c>
      <c r="K36" s="58">
        <f t="shared" si="28"/>
        <v>4.6376629882625253E-2</v>
      </c>
    </row>
    <row r="38" spans="2:11" x14ac:dyDescent="0.35">
      <c r="B38" t="s">
        <v>88</v>
      </c>
      <c r="C38" s="33">
        <v>458</v>
      </c>
      <c r="D38" s="33">
        <v>502</v>
      </c>
      <c r="E38" s="33">
        <v>869</v>
      </c>
      <c r="F38" s="33">
        <v>1459</v>
      </c>
    </row>
    <row r="39" spans="2:11" x14ac:dyDescent="0.35">
      <c r="B39" t="s">
        <v>90</v>
      </c>
      <c r="C39" s="45">
        <f>C38/'Asset schedule'!C5</f>
        <v>1.5115511551155116E-2</v>
      </c>
      <c r="D39" s="45">
        <f>D38/'Asset schedule'!D5</f>
        <v>1.5520652980460055E-2</v>
      </c>
      <c r="E39" s="45">
        <f>E38/'Asset schedule'!E5</f>
        <v>2.5669807697988361E-2</v>
      </c>
      <c r="F39" s="45">
        <f>F38/'Asset schedule'!F5</f>
        <v>3.9139415725514395E-2</v>
      </c>
      <c r="G39" s="59">
        <f>AVERAGE(C39:F39)</f>
        <v>2.386134698877948E-2</v>
      </c>
      <c r="H39" s="59">
        <f>G39</f>
        <v>2.386134698877948E-2</v>
      </c>
      <c r="I39" s="59">
        <f t="shared" ref="I39:K39" si="29">H39</f>
        <v>2.386134698877948E-2</v>
      </c>
      <c r="J39" s="59">
        <f t="shared" si="29"/>
        <v>2.386134698877948E-2</v>
      </c>
      <c r="K39" s="59">
        <f t="shared" si="29"/>
        <v>2.386134698877948E-2</v>
      </c>
    </row>
    <row r="40" spans="2:11" x14ac:dyDescent="0.35">
      <c r="B40" t="s">
        <v>89</v>
      </c>
      <c r="C40" s="33">
        <v>2314</v>
      </c>
      <c r="D40" s="33">
        <v>1923</v>
      </c>
      <c r="E40" s="33">
        <v>2706</v>
      </c>
      <c r="F40" s="33">
        <v>2606</v>
      </c>
      <c r="G40" s="34">
        <f>F40*(1+G41)</f>
        <v>2806.879074664047</v>
      </c>
      <c r="H40" s="34">
        <f t="shared" ref="H40:K40" si="30">G40*(1+H41)</f>
        <v>3037.276966281569</v>
      </c>
      <c r="I40" s="34">
        <f t="shared" si="30"/>
        <v>3301.7730615334353</v>
      </c>
      <c r="J40" s="34">
        <f t="shared" si="30"/>
        <v>3605.8112143833414</v>
      </c>
      <c r="K40" s="34">
        <f t="shared" si="30"/>
        <v>3955.8752591462844</v>
      </c>
    </row>
    <row r="41" spans="2:11" x14ac:dyDescent="0.35">
      <c r="D41" s="45">
        <f>D40/C40-1</f>
        <v>-0.16897147796024203</v>
      </c>
      <c r="E41" s="45">
        <f t="shared" ref="E41:F41" si="31">E40/D40-1</f>
        <v>0.40717628705148212</v>
      </c>
      <c r="F41" s="45">
        <f t="shared" si="31"/>
        <v>-3.6954915003695521E-2</v>
      </c>
      <c r="G41" s="59">
        <f>AVERAGE(D41:F41)+1%</f>
        <v>7.7083298029181513E-2</v>
      </c>
      <c r="H41" s="59">
        <f>G41+0.5%</f>
        <v>8.2083298029181517E-2</v>
      </c>
      <c r="I41" s="59">
        <f t="shared" ref="I41:K41" si="32">H41+0.5%</f>
        <v>8.7083298029181522E-2</v>
      </c>
      <c r="J41" s="59">
        <f t="shared" si="32"/>
        <v>9.2083298029181526E-2</v>
      </c>
      <c r="K41" s="59">
        <f t="shared" si="32"/>
        <v>9.7083298029181531E-2</v>
      </c>
    </row>
    <row r="42" spans="2:11" x14ac:dyDescent="0.35">
      <c r="D42" s="45"/>
      <c r="E42" s="45"/>
      <c r="F42" s="45"/>
      <c r="G42" s="59"/>
      <c r="H42" s="59"/>
      <c r="I42" s="59"/>
      <c r="J42" s="59"/>
      <c r="K42" s="59"/>
    </row>
    <row r="43" spans="2:11" x14ac:dyDescent="0.35">
      <c r="B43" t="s">
        <v>91</v>
      </c>
      <c r="C43" s="33">
        <v>1234</v>
      </c>
      <c r="D43" s="33">
        <v>1564</v>
      </c>
      <c r="E43" s="33">
        <v>1546</v>
      </c>
      <c r="F43" s="33">
        <v>2665</v>
      </c>
      <c r="G43" s="34">
        <f>'Asset schedule'!G5*Assumptions!G44</f>
        <v>2163.1709905707917</v>
      </c>
      <c r="H43" s="34">
        <f>'Asset schedule'!H5*Assumptions!H44</f>
        <v>2266.415033974266</v>
      </c>
      <c r="I43" s="34">
        <f>'Asset schedule'!I5*Assumptions!I44</f>
        <v>2379.9069727788956</v>
      </c>
      <c r="J43" s="34">
        <f>'Asset schedule'!J5*Assumptions!J44</f>
        <v>2505.2835333683593</v>
      </c>
      <c r="K43" s="34">
        <f>'Asset schedule'!K5*Assumptions!K44</f>
        <v>2644.4427341658543</v>
      </c>
    </row>
    <row r="44" spans="2:11" x14ac:dyDescent="0.35">
      <c r="B44" t="s">
        <v>92</v>
      </c>
      <c r="C44" s="45">
        <f>C43/'Asset schedule'!C5</f>
        <v>4.0726072607260723E-2</v>
      </c>
      <c r="D44" s="45">
        <f>D43/'Asset schedule'!D5</f>
        <v>4.8355181795696263E-2</v>
      </c>
      <c r="E44" s="45">
        <f>E43/'Asset schedule'!E5</f>
        <v>4.5668035329217496E-2</v>
      </c>
      <c r="F44" s="45">
        <f>F43/'Asset schedule'!F5</f>
        <v>7.1491804598009495E-2</v>
      </c>
      <c r="G44" s="59">
        <f>AVERAGE(D44:F44)</f>
        <v>5.5171673907641085E-2</v>
      </c>
      <c r="H44" s="59">
        <f>G44</f>
        <v>5.5171673907641085E-2</v>
      </c>
      <c r="I44" s="59">
        <f t="shared" ref="I44:K44" si="33">H44</f>
        <v>5.5171673907641085E-2</v>
      </c>
      <c r="J44" s="59">
        <f t="shared" si="33"/>
        <v>5.5171673907641085E-2</v>
      </c>
      <c r="K44" s="59">
        <f t="shared" si="33"/>
        <v>5.5171673907641085E-2</v>
      </c>
    </row>
    <row r="46" spans="2:11" x14ac:dyDescent="0.35">
      <c r="C46" s="45"/>
    </row>
    <row r="49" spans="2:12" x14ac:dyDescent="0.35">
      <c r="B49" s="32" t="s">
        <v>45</v>
      </c>
      <c r="C49" s="53"/>
      <c r="D49" s="53"/>
      <c r="E49" s="53"/>
      <c r="F49" s="53"/>
      <c r="G49" s="53"/>
      <c r="H49" s="53"/>
      <c r="I49" s="53"/>
      <c r="J49" s="53"/>
      <c r="K49" s="53"/>
    </row>
    <row r="50" spans="2:12" x14ac:dyDescent="0.35">
      <c r="B50" s="1" t="s">
        <v>56</v>
      </c>
      <c r="C50" s="33">
        <v>28</v>
      </c>
      <c r="D50" s="33">
        <v>28</v>
      </c>
      <c r="E50" s="33">
        <v>21</v>
      </c>
      <c r="F50" s="33">
        <v>29</v>
      </c>
      <c r="G50" s="34">
        <f>F50</f>
        <v>29</v>
      </c>
      <c r="H50" s="34">
        <f>G50</f>
        <v>29</v>
      </c>
      <c r="I50" s="34">
        <f t="shared" ref="I50:K50" si="34">H50</f>
        <v>29</v>
      </c>
      <c r="J50" s="34">
        <f t="shared" si="34"/>
        <v>29</v>
      </c>
      <c r="K50" s="34">
        <f t="shared" si="34"/>
        <v>29</v>
      </c>
      <c r="L50" s="68" t="s">
        <v>106</v>
      </c>
    </row>
    <row r="51" spans="2:12" x14ac:dyDescent="0.35">
      <c r="B51" s="1" t="s">
        <v>57</v>
      </c>
      <c r="C51" s="33">
        <v>36897</v>
      </c>
      <c r="D51" s="33">
        <v>31481</v>
      </c>
      <c r="E51" s="33">
        <v>30689</v>
      </c>
      <c r="F51" s="33">
        <v>33770</v>
      </c>
      <c r="G51" s="34">
        <f>'P&amp;L'!G4*Assumptions!G52</f>
        <v>36506.144933128635</v>
      </c>
      <c r="H51" s="34">
        <f>'P&amp;L'!H4*Assumptions!H52</f>
        <v>39875.64464375734</v>
      </c>
      <c r="I51" s="34">
        <f>'P&amp;L'!I4*Assumptions!I52</f>
        <v>43770.709868787482</v>
      </c>
      <c r="J51" s="34">
        <f>'P&amp;L'!J4*Assumptions!J52</f>
        <v>48046.246262190682</v>
      </c>
      <c r="K51" s="34">
        <f>'P&amp;L'!K4*Assumptions!K52</f>
        <v>52739.418364635712</v>
      </c>
    </row>
    <row r="52" spans="2:12" x14ac:dyDescent="0.35">
      <c r="B52" s="19" t="s">
        <v>9</v>
      </c>
      <c r="C52" s="29">
        <f>C51/'P&amp;L'!C4</f>
        <v>0.16365354079252012</v>
      </c>
      <c r="D52" s="29">
        <f>D51/'P&amp;L'!D4</f>
        <v>0.13068457780010212</v>
      </c>
      <c r="E52" s="29">
        <f>E51/'P&amp;L'!E4</f>
        <v>0.12019629960364087</v>
      </c>
      <c r="F52" s="29">
        <f>F51/'P&amp;L'!F4</f>
        <v>0.12646945371337834</v>
      </c>
      <c r="G52" s="60">
        <f>AVERAGE(D52:F52)</f>
        <v>0.12578344370570713</v>
      </c>
      <c r="H52" s="60">
        <f>G52</f>
        <v>0.12578344370570713</v>
      </c>
      <c r="I52" s="60">
        <f t="shared" ref="I52:K52" si="35">H52</f>
        <v>0.12578344370570713</v>
      </c>
      <c r="J52" s="60">
        <f t="shared" si="35"/>
        <v>0.12578344370570713</v>
      </c>
      <c r="K52" s="60">
        <f t="shared" si="35"/>
        <v>0.12578344370570713</v>
      </c>
    </row>
    <row r="53" spans="2:12" x14ac:dyDescent="0.35">
      <c r="B53" s="1" t="s">
        <v>107</v>
      </c>
      <c r="C53" s="63">
        <f>'Balance Sheet'!C19/('P&amp;L'!C4/365)</f>
        <v>80.871869705222252</v>
      </c>
      <c r="D53" s="63">
        <f>'Balance Sheet'!D19/('P&amp;L'!D4/365)</f>
        <v>81.179631620678052</v>
      </c>
      <c r="E53" s="63">
        <f>'Balance Sheet'!E19/('P&amp;L'!E4/365)</f>
        <v>84.409573718099367</v>
      </c>
      <c r="F53" s="63">
        <f>'Balance Sheet'!F19/('P&amp;L'!F4/365)</f>
        <v>92.560547672280464</v>
      </c>
      <c r="G53" s="63">
        <f>AVERAGE(D53:F53)</f>
        <v>86.049917670352627</v>
      </c>
      <c r="H53" s="63">
        <f>G53</f>
        <v>86.049917670352627</v>
      </c>
      <c r="I53" s="63">
        <f t="shared" ref="I53:K53" si="36">H53</f>
        <v>86.049917670352627</v>
      </c>
      <c r="J53" s="63">
        <f t="shared" si="36"/>
        <v>86.049917670352627</v>
      </c>
      <c r="K53" s="63">
        <f t="shared" si="36"/>
        <v>86.049917670352627</v>
      </c>
    </row>
    <row r="54" spans="2:12" x14ac:dyDescent="0.35">
      <c r="B54" s="1"/>
    </row>
    <row r="55" spans="2:12" x14ac:dyDescent="0.35">
      <c r="B55" s="1" t="s">
        <v>59</v>
      </c>
      <c r="C55" s="33">
        <v>3909</v>
      </c>
      <c r="D55" s="33">
        <v>4270</v>
      </c>
      <c r="E55" s="33">
        <v>7121</v>
      </c>
      <c r="F55" s="33">
        <v>6491</v>
      </c>
      <c r="G55" s="34">
        <f>'P&amp;L'!G4*Assumptions!G56</f>
        <v>6764.7530033083449</v>
      </c>
      <c r="H55" s="34">
        <f>'P&amp;L'!H4*Assumptions!H56</f>
        <v>7389.1364688557342</v>
      </c>
      <c r="I55" s="34">
        <f>'P&amp;L'!I4*Assumptions!I56</f>
        <v>8110.9095902677736</v>
      </c>
      <c r="J55" s="34">
        <f>'P&amp;L'!J4*Assumptions!J56</f>
        <v>8903.1857320244289</v>
      </c>
      <c r="K55" s="34">
        <f>'P&amp;L'!K4*Assumptions!K56</f>
        <v>9772.8516508228586</v>
      </c>
    </row>
    <row r="56" spans="2:12" x14ac:dyDescent="0.35">
      <c r="B56" s="19" t="s">
        <v>9</v>
      </c>
      <c r="C56" s="29">
        <f>C55/'P&amp;L'!C4</f>
        <v>1.7338040788084697E-2</v>
      </c>
      <c r="D56" s="29">
        <f>D55/'P&amp;L'!D4</f>
        <v>1.7725712245685844E-2</v>
      </c>
      <c r="E56" s="29">
        <f>E55/'P&amp;L'!E4</f>
        <v>2.789005342231831E-2</v>
      </c>
      <c r="F56" s="29">
        <f>F55/'P&amp;L'!F4</f>
        <v>2.4308949483373966E-2</v>
      </c>
      <c r="G56" s="60">
        <f>AVERAGE(D56:F56)</f>
        <v>2.3308238383792704E-2</v>
      </c>
      <c r="H56" s="60">
        <f>G56</f>
        <v>2.3308238383792704E-2</v>
      </c>
      <c r="I56" s="60">
        <f t="shared" ref="I56:K56" si="37">H56</f>
        <v>2.3308238383792704E-2</v>
      </c>
      <c r="J56" s="60">
        <f t="shared" si="37"/>
        <v>2.3308238383792704E-2</v>
      </c>
      <c r="K56" s="60">
        <f t="shared" si="37"/>
        <v>2.3308238383792704E-2</v>
      </c>
    </row>
    <row r="57" spans="2:12" x14ac:dyDescent="0.35">
      <c r="B57" s="1"/>
    </row>
    <row r="58" spans="2:12" x14ac:dyDescent="0.35">
      <c r="B58" s="19"/>
      <c r="C58" s="29"/>
      <c r="D58" s="29"/>
      <c r="E58" s="29"/>
      <c r="F58" s="29"/>
      <c r="G58" s="60"/>
      <c r="H58" s="60"/>
      <c r="I58" s="60"/>
      <c r="J58" s="60"/>
      <c r="K58" s="60"/>
    </row>
    <row r="60" spans="2:12" x14ac:dyDescent="0.35">
      <c r="B60" s="54" t="s">
        <v>158</v>
      </c>
      <c r="C60" s="53"/>
      <c r="D60" s="53"/>
      <c r="E60" s="53"/>
      <c r="F60" s="53"/>
      <c r="G60" s="53"/>
      <c r="H60" s="53"/>
      <c r="I60" s="53"/>
      <c r="J60" s="53"/>
      <c r="K60" s="53"/>
    </row>
    <row r="62" spans="2:12" x14ac:dyDescent="0.35">
      <c r="B62" t="s">
        <v>154</v>
      </c>
      <c r="C62" s="63">
        <f>'Balance Sheet'!C42/('P&amp;L'!C9/365)</f>
        <v>0</v>
      </c>
      <c r="D62" s="63">
        <f>'Balance Sheet'!D42/('P&amp;L'!D9/365)</f>
        <v>25.997566562716315</v>
      </c>
      <c r="E62" s="63">
        <f>'Balance Sheet'!E42/('P&amp;L'!E9/365)</f>
        <v>34.823064998490963</v>
      </c>
      <c r="F62" s="63">
        <f>'Balance Sheet'!F42/('P&amp;L'!F9/365)</f>
        <v>34.871801489089904</v>
      </c>
      <c r="G62" s="63">
        <f>AVERAGE(D62:F62)</f>
        <v>31.897477683432395</v>
      </c>
      <c r="H62" s="63">
        <f>G62</f>
        <v>31.897477683432395</v>
      </c>
      <c r="I62" s="63">
        <f t="shared" ref="I62:K62" si="38">H62</f>
        <v>31.897477683432395</v>
      </c>
      <c r="J62" s="63">
        <f t="shared" si="38"/>
        <v>31.897477683432395</v>
      </c>
      <c r="K62" s="63">
        <f t="shared" si="38"/>
        <v>31.897477683432395</v>
      </c>
    </row>
    <row r="64" spans="2:12" x14ac:dyDescent="0.35">
      <c r="B64" t="s">
        <v>111</v>
      </c>
      <c r="C64" s="33">
        <v>41410</v>
      </c>
      <c r="D64" s="33">
        <v>25218</v>
      </c>
      <c r="E64" s="33">
        <v>44962</v>
      </c>
      <c r="F64" s="33">
        <v>39571</v>
      </c>
    </row>
    <row r="65" spans="2:11" x14ac:dyDescent="0.35">
      <c r="B65" t="s">
        <v>112</v>
      </c>
      <c r="C65" s="45">
        <f>C64/'P&amp;L'!C32</f>
        <v>0.97889038602463185</v>
      </c>
      <c r="D65" s="45">
        <f>D64/'P&amp;L'!D32</f>
        <v>0.5470400659450313</v>
      </c>
      <c r="E65" s="45">
        <f>E64/'P&amp;L'!E32</f>
        <v>0.92140910301862822</v>
      </c>
      <c r="F65" s="45">
        <f>F64/'P&amp;L'!F32</f>
        <v>0.80015772232781979</v>
      </c>
      <c r="G65" s="59">
        <v>0.82</v>
      </c>
      <c r="H65" s="59">
        <v>0.88</v>
      </c>
      <c r="I65" s="59">
        <v>0.88</v>
      </c>
      <c r="J65" s="59">
        <v>0.92</v>
      </c>
      <c r="K65" s="59">
        <v>0.92</v>
      </c>
    </row>
    <row r="67" spans="2:11" x14ac:dyDescent="0.35">
      <c r="B67" t="s">
        <v>134</v>
      </c>
      <c r="D67" s="33">
        <v>11433</v>
      </c>
      <c r="E67" s="33">
        <v>12715</v>
      </c>
      <c r="F67" s="33">
        <v>14751</v>
      </c>
      <c r="G67" s="34">
        <f>'P&amp;L'!G30*Assumptions!G68</f>
        <v>16013.040037608229</v>
      </c>
      <c r="H67" s="34">
        <f>'P&amp;L'!H30*Assumptions!H68</f>
        <v>17943.435735392486</v>
      </c>
      <c r="I67" s="34">
        <f>'P&amp;L'!I30*Assumptions!I68</f>
        <v>20185.412271781668</v>
      </c>
      <c r="J67" s="34">
        <f>'P&amp;L'!J30*Assumptions!J68</f>
        <v>22681.090337989517</v>
      </c>
      <c r="K67" s="34">
        <f>'P&amp;L'!K30*Assumptions!K68</f>
        <v>25454.890694692596</v>
      </c>
    </row>
    <row r="68" spans="2:11" x14ac:dyDescent="0.35">
      <c r="D68" s="45">
        <f>Assumptions!D67/'P&amp;L'!D30</f>
        <v>0.71914706252358784</v>
      </c>
      <c r="E68" s="45">
        <f>Assumptions!E67/'P&amp;L'!E30</f>
        <v>0.7690214104269989</v>
      </c>
      <c r="F68" s="45">
        <f>Assumptions!F67/'P&amp;L'!F30</f>
        <v>0.92003991766980597</v>
      </c>
      <c r="G68" s="45">
        <f>AVERAGE(D68:F68)</f>
        <v>0.80273613020679757</v>
      </c>
      <c r="H68" s="45">
        <f>G68</f>
        <v>0.80273613020679757</v>
      </c>
      <c r="I68" s="45">
        <f t="shared" ref="I68:K68" si="39">H68</f>
        <v>0.80273613020679757</v>
      </c>
      <c r="J68" s="45">
        <f t="shared" si="39"/>
        <v>0.80273613020679757</v>
      </c>
      <c r="K68" s="45">
        <f t="shared" si="39"/>
        <v>0.80273613020679757</v>
      </c>
    </row>
  </sheetData>
  <mergeCells count="4">
    <mergeCell ref="B2:K2"/>
    <mergeCell ref="B12:K12"/>
    <mergeCell ref="B33:K33"/>
    <mergeCell ref="A1:K1"/>
  </mergeCells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2"/>
  <sheetViews>
    <sheetView showGridLines="0" zoomScale="8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:K1"/>
    </sheetView>
  </sheetViews>
  <sheetFormatPr defaultColWidth="8.54296875" defaultRowHeight="14.5" x14ac:dyDescent="0.35"/>
  <cols>
    <col min="1" max="1" width="1.81640625" customWidth="1"/>
    <col min="2" max="2" width="42" customWidth="1"/>
    <col min="3" max="3" width="22.7265625" customWidth="1"/>
    <col min="4" max="6" width="16" customWidth="1"/>
    <col min="7" max="11" width="14.26953125" customWidth="1"/>
  </cols>
  <sheetData>
    <row r="1" spans="2:12" ht="16.5" customHeight="1" x14ac:dyDescent="0.35">
      <c r="B1" s="118" t="s">
        <v>12</v>
      </c>
      <c r="C1" s="118"/>
      <c r="D1" s="118"/>
      <c r="E1" s="118"/>
      <c r="F1" s="118"/>
      <c r="G1" s="118"/>
      <c r="H1" s="118"/>
      <c r="I1" s="118"/>
      <c r="J1" s="118"/>
      <c r="K1" s="118"/>
    </row>
    <row r="2" spans="2:12" x14ac:dyDescent="0.35">
      <c r="B2" s="120" t="s">
        <v>13</v>
      </c>
      <c r="C2" s="120"/>
      <c r="D2" s="120"/>
      <c r="E2" s="120"/>
      <c r="F2" s="120"/>
      <c r="G2" s="120"/>
      <c r="H2" s="120"/>
      <c r="I2" s="120"/>
      <c r="J2" s="120"/>
      <c r="K2" s="120"/>
    </row>
    <row r="3" spans="2:12" x14ac:dyDescent="0.35">
      <c r="B3" s="10" t="s">
        <v>1</v>
      </c>
      <c r="C3" s="9">
        <v>45016</v>
      </c>
      <c r="D3" s="9">
        <v>45382</v>
      </c>
      <c r="E3" s="9">
        <v>45747</v>
      </c>
      <c r="F3" s="9">
        <v>46112</v>
      </c>
      <c r="G3" s="16">
        <v>46477</v>
      </c>
      <c r="H3" s="16">
        <v>46843</v>
      </c>
      <c r="I3" s="16">
        <v>47208</v>
      </c>
      <c r="J3" s="16">
        <v>47573</v>
      </c>
      <c r="K3" s="16">
        <v>47938</v>
      </c>
    </row>
    <row r="4" spans="2:12" x14ac:dyDescent="0.35">
      <c r="B4" s="12" t="s">
        <v>14</v>
      </c>
      <c r="C4" s="33">
        <v>225458</v>
      </c>
      <c r="D4" s="33">
        <v>240893</v>
      </c>
      <c r="E4" s="33">
        <v>255324</v>
      </c>
      <c r="F4" s="33">
        <v>267021</v>
      </c>
      <c r="G4" s="34">
        <f>Assumptions!G9</f>
        <v>290230.12773081084</v>
      </c>
      <c r="H4" s="34">
        <f>Assumptions!H9</f>
        <v>317018.22965710453</v>
      </c>
      <c r="I4" s="34">
        <f>Assumptions!I9</f>
        <v>347984.66776912939</v>
      </c>
      <c r="J4" s="34">
        <f>Assumptions!J9</f>
        <v>381975.9170738199</v>
      </c>
      <c r="K4" s="34">
        <f>Assumptions!K9</f>
        <v>419287.44205818546</v>
      </c>
    </row>
    <row r="5" spans="2:12" x14ac:dyDescent="0.35">
      <c r="B5" s="19" t="s">
        <v>15</v>
      </c>
      <c r="C5" s="19"/>
      <c r="D5" s="27">
        <f>D4/C4-1</f>
        <v>6.8460644554639849E-2</v>
      </c>
      <c r="E5" s="27">
        <f t="shared" ref="E5:K5" si="0">E4/D4-1</f>
        <v>5.9906265437351891E-2</v>
      </c>
      <c r="F5" s="27">
        <f t="shared" si="0"/>
        <v>4.581237956478823E-2</v>
      </c>
      <c r="G5" s="27">
        <f t="shared" si="0"/>
        <v>8.6918735720452167E-2</v>
      </c>
      <c r="H5" s="27">
        <f t="shared" si="0"/>
        <v>9.2299521540850193E-2</v>
      </c>
      <c r="I5" s="27">
        <f t="shared" si="0"/>
        <v>9.7680307361248664E-2</v>
      </c>
      <c r="J5" s="27">
        <f t="shared" si="0"/>
        <v>9.7680307361248442E-2</v>
      </c>
      <c r="K5" s="27">
        <f t="shared" si="0"/>
        <v>9.7680307361248664E-2</v>
      </c>
    </row>
    <row r="6" spans="2:12" x14ac:dyDescent="0.35">
      <c r="B6" s="12"/>
      <c r="C6" s="12"/>
      <c r="D6" s="2"/>
      <c r="E6" s="2"/>
      <c r="F6" s="2"/>
    </row>
    <row r="7" spans="2:12" x14ac:dyDescent="0.35">
      <c r="B7" s="15" t="s">
        <v>16</v>
      </c>
      <c r="C7" s="39">
        <f>C4</f>
        <v>225458</v>
      </c>
      <c r="D7" s="39">
        <f t="shared" ref="D7:K7" si="1">D4</f>
        <v>240893</v>
      </c>
      <c r="E7" s="39">
        <f t="shared" si="1"/>
        <v>255324</v>
      </c>
      <c r="F7" s="39">
        <f t="shared" si="1"/>
        <v>267021</v>
      </c>
      <c r="G7" s="39">
        <f t="shared" si="1"/>
        <v>290230.12773081084</v>
      </c>
      <c r="H7" s="39">
        <f t="shared" si="1"/>
        <v>317018.22965710453</v>
      </c>
      <c r="I7" s="39">
        <f t="shared" si="1"/>
        <v>347984.66776912939</v>
      </c>
      <c r="J7" s="39">
        <f t="shared" si="1"/>
        <v>381975.9170738199</v>
      </c>
      <c r="K7" s="39">
        <f t="shared" si="1"/>
        <v>419287.44205818546</v>
      </c>
      <c r="L7" s="8"/>
    </row>
    <row r="8" spans="2:12" ht="13.5" customHeight="1" x14ac:dyDescent="0.35">
      <c r="B8" s="11"/>
      <c r="C8" s="11"/>
    </row>
    <row r="9" spans="2:12" x14ac:dyDescent="0.35">
      <c r="B9" s="12" t="s">
        <v>8</v>
      </c>
      <c r="C9" s="33">
        <v>127522</v>
      </c>
      <c r="D9" s="33">
        <v>140131</v>
      </c>
      <c r="E9" s="33">
        <v>145788</v>
      </c>
      <c r="F9" s="33">
        <v>154994</v>
      </c>
      <c r="G9" s="34">
        <f>Assumptions!G14</f>
        <v>166793.52613712943</v>
      </c>
      <c r="H9" s="34">
        <f>Assumptions!H14</f>
        <v>182188.48879569778</v>
      </c>
      <c r="I9" s="34">
        <f>Assumptions!I14</f>
        <v>199984.71637894292</v>
      </c>
      <c r="J9" s="34">
        <f>Assumptions!J14</f>
        <v>219519.28494239019</v>
      </c>
      <c r="K9" s="34">
        <f>Assumptions!K14</f>
        <v>240961.99616728438</v>
      </c>
      <c r="L9" s="24"/>
    </row>
    <row r="10" spans="2:12" x14ac:dyDescent="0.35">
      <c r="B10" s="12" t="s">
        <v>10</v>
      </c>
      <c r="C10" s="33">
        <v>1881</v>
      </c>
      <c r="D10" s="33">
        <v>3702</v>
      </c>
      <c r="E10" s="33">
        <v>11648</v>
      </c>
      <c r="F10" s="33">
        <v>4399</v>
      </c>
      <c r="G10" s="34">
        <f>Assumptions!G16</f>
        <v>7493.9977983802319</v>
      </c>
      <c r="H10" s="34">
        <f>Assumptions!H16</f>
        <v>8185.6902095989126</v>
      </c>
      <c r="I10" s="34">
        <f>Assumptions!I16</f>
        <v>8985.2709452364979</v>
      </c>
      <c r="J10" s="34">
        <f>Assumptions!J16</f>
        <v>9862.9549728912953</v>
      </c>
      <c r="K10" s="34">
        <f>Assumptions!K16</f>
        <v>10826.371446133473</v>
      </c>
      <c r="L10" s="24"/>
    </row>
    <row r="11" spans="2:12" x14ac:dyDescent="0.35">
      <c r="B11" s="12" t="s">
        <v>11</v>
      </c>
      <c r="C11" s="33">
        <v>36796</v>
      </c>
      <c r="D11" s="33">
        <v>32764</v>
      </c>
      <c r="E11" s="33">
        <v>30481</v>
      </c>
      <c r="F11" s="33">
        <v>35230</v>
      </c>
      <c r="G11" s="34">
        <f>Assumptions!G18</f>
        <v>36020.406085501651</v>
      </c>
      <c r="H11" s="34">
        <f>Assumptions!H18</f>
        <v>37759.981184615062</v>
      </c>
      <c r="I11" s="34">
        <f>Assumptions!I18</f>
        <v>39708.464413837573</v>
      </c>
      <c r="J11" s="34">
        <f>Assumptions!J18</f>
        <v>41677.319837255331</v>
      </c>
      <c r="K11" s="34">
        <f>Assumptions!K18</f>
        <v>43651.936038660569</v>
      </c>
    </row>
    <row r="12" spans="2:12" x14ac:dyDescent="0.35">
      <c r="B12" s="13" t="s">
        <v>17</v>
      </c>
      <c r="C12" s="40">
        <f>SUM(C9:C11)</f>
        <v>166199</v>
      </c>
      <c r="D12" s="40">
        <f t="shared" ref="D12:F12" si="2">SUM(D9:D11)</f>
        <v>176597</v>
      </c>
      <c r="E12" s="40">
        <f t="shared" si="2"/>
        <v>187917</v>
      </c>
      <c r="F12" s="40">
        <f t="shared" si="2"/>
        <v>194623</v>
      </c>
      <c r="G12" s="40">
        <f t="shared" ref="G12" si="3">SUM(G9:G11)</f>
        <v>210307.93002101133</v>
      </c>
      <c r="H12" s="40">
        <f t="shared" ref="H12" si="4">SUM(H9:H11)</f>
        <v>228134.16018991175</v>
      </c>
      <c r="I12" s="40">
        <f t="shared" ref="I12" si="5">SUM(I9:I11)</f>
        <v>248678.45173801697</v>
      </c>
      <c r="J12" s="40">
        <f t="shared" ref="J12" si="6">SUM(J9:J11)</f>
        <v>271059.55975253682</v>
      </c>
      <c r="K12" s="40">
        <f t="shared" ref="K12" si="7">SUM(K9:K11)</f>
        <v>295440.30365207844</v>
      </c>
    </row>
    <row r="13" spans="2:12" x14ac:dyDescent="0.35">
      <c r="B13" s="12"/>
      <c r="C13" s="24"/>
      <c r="D13" s="2"/>
      <c r="E13" s="2"/>
      <c r="F13" s="2"/>
    </row>
    <row r="14" spans="2:12" s="14" customFormat="1" x14ac:dyDescent="0.35">
      <c r="B14" s="15" t="s">
        <v>18</v>
      </c>
      <c r="C14" s="41">
        <f>C7-C12</f>
        <v>59259</v>
      </c>
      <c r="D14" s="41">
        <f t="shared" ref="D14:K14" si="8">D7-D12</f>
        <v>64296</v>
      </c>
      <c r="E14" s="41">
        <f t="shared" si="8"/>
        <v>67407</v>
      </c>
      <c r="F14" s="41">
        <f t="shared" si="8"/>
        <v>72398</v>
      </c>
      <c r="G14" s="41">
        <f t="shared" si="8"/>
        <v>79922.197709799511</v>
      </c>
      <c r="H14" s="41">
        <f t="shared" si="8"/>
        <v>88884.069467192778</v>
      </c>
      <c r="I14" s="41">
        <f t="shared" si="8"/>
        <v>99306.216031112417</v>
      </c>
      <c r="J14" s="41">
        <f t="shared" si="8"/>
        <v>110916.35732128308</v>
      </c>
      <c r="K14" s="41">
        <f t="shared" si="8"/>
        <v>123847.13840610703</v>
      </c>
    </row>
    <row r="15" spans="2:12" s="14" customFormat="1" x14ac:dyDescent="0.35">
      <c r="B15" s="19" t="s">
        <v>19</v>
      </c>
      <c r="C15" s="19"/>
      <c r="D15" s="20">
        <f>D14/D7</f>
        <v>0.26690688396923118</v>
      </c>
      <c r="E15" s="20">
        <f t="shared" ref="E15:F15" si="9">E14/E7</f>
        <v>0.26400573389105608</v>
      </c>
      <c r="F15" s="20">
        <f t="shared" si="9"/>
        <v>0.27113223304534101</v>
      </c>
      <c r="G15" s="20">
        <f t="shared" ref="G15" si="10">G14/G7</f>
        <v>0.27537526284634223</v>
      </c>
      <c r="H15" s="20">
        <f t="shared" ref="H15" si="11">H14/H7</f>
        <v>0.28037526284634223</v>
      </c>
      <c r="I15" s="20">
        <f t="shared" ref="I15" si="12">I14/I7</f>
        <v>0.28537526284634235</v>
      </c>
      <c r="J15" s="20">
        <f t="shared" ref="J15" si="13">J14/J7</f>
        <v>0.29037526284634224</v>
      </c>
      <c r="K15" s="20">
        <f t="shared" ref="K15" si="14">K14/K7</f>
        <v>0.29537526284634225</v>
      </c>
    </row>
    <row r="16" spans="2:12" s="14" customFormat="1" x14ac:dyDescent="0.35">
      <c r="B16" s="22"/>
      <c r="C16" s="22"/>
      <c r="D16" s="23"/>
      <c r="E16" s="23"/>
      <c r="F16" s="23"/>
      <c r="G16" s="23"/>
      <c r="H16" s="23"/>
      <c r="I16" s="23"/>
      <c r="J16" s="23"/>
      <c r="K16" s="23"/>
    </row>
    <row r="17" spans="2:15" x14ac:dyDescent="0.35">
      <c r="B17" s="12" t="s">
        <v>20</v>
      </c>
      <c r="C17" s="33">
        <v>5022</v>
      </c>
      <c r="D17" s="33">
        <v>4985</v>
      </c>
      <c r="E17" s="33">
        <v>5242</v>
      </c>
      <c r="F17" s="33">
        <v>5560</v>
      </c>
      <c r="G17" s="34">
        <f>Assumptions!G29</f>
        <v>4640.6009741944381</v>
      </c>
      <c r="H17" s="34">
        <f>Assumptions!H29</f>
        <v>4537.4384076634806</v>
      </c>
      <c r="I17" s="34">
        <f>Assumptions!I29</f>
        <v>4428.9418263457392</v>
      </c>
      <c r="J17" s="34">
        <f>Assumptions!J29</f>
        <v>4308.7483525952593</v>
      </c>
      <c r="K17" s="34">
        <f>Assumptions!K29</f>
        <v>4194.0955615020066</v>
      </c>
      <c r="O17" s="34"/>
    </row>
    <row r="18" spans="2:15" x14ac:dyDescent="0.35">
      <c r="B18" s="15" t="s">
        <v>21</v>
      </c>
      <c r="C18" s="39">
        <f>C14-C17</f>
        <v>54237</v>
      </c>
      <c r="D18" s="39">
        <f>D14-D17</f>
        <v>59311</v>
      </c>
      <c r="E18" s="39">
        <f t="shared" ref="E18:K18" si="15">E14-E17</f>
        <v>62165</v>
      </c>
      <c r="F18" s="39">
        <f t="shared" si="15"/>
        <v>66838</v>
      </c>
      <c r="G18" s="39">
        <f t="shared" si="15"/>
        <v>75281.596735605068</v>
      </c>
      <c r="H18" s="39">
        <f t="shared" si="15"/>
        <v>84346.631059529303</v>
      </c>
      <c r="I18" s="39">
        <f t="shared" si="15"/>
        <v>94877.274204766683</v>
      </c>
      <c r="J18" s="39">
        <f t="shared" si="15"/>
        <v>106607.60896868783</v>
      </c>
      <c r="K18" s="39">
        <f t="shared" si="15"/>
        <v>119653.04284460502</v>
      </c>
    </row>
    <row r="19" spans="2:15" x14ac:dyDescent="0.35">
      <c r="B19" s="19" t="s">
        <v>22</v>
      </c>
      <c r="C19" s="19"/>
      <c r="D19" s="20">
        <f>D18/D7</f>
        <v>0.24621304894704288</v>
      </c>
      <c r="E19" s="20">
        <f t="shared" ref="E19:K19" si="16">E18/E7</f>
        <v>0.24347495730914445</v>
      </c>
      <c r="F19" s="20">
        <f t="shared" si="16"/>
        <v>0.25030990071941905</v>
      </c>
      <c r="G19" s="20">
        <f t="shared" si="16"/>
        <v>0.25938587879969832</v>
      </c>
      <c r="H19" s="20">
        <f t="shared" si="16"/>
        <v>0.2660624001047539</v>
      </c>
      <c r="I19" s="20">
        <f t="shared" si="16"/>
        <v>0.27264785777203571</v>
      </c>
      <c r="J19" s="20">
        <f t="shared" si="16"/>
        <v>0.27909510574742608</v>
      </c>
      <c r="K19" s="20">
        <f t="shared" si="16"/>
        <v>0.2853723504268475</v>
      </c>
      <c r="O19" s="34"/>
    </row>
    <row r="20" spans="2:15" x14ac:dyDescent="0.35">
      <c r="B20" s="22"/>
      <c r="C20" s="22"/>
      <c r="D20" s="23"/>
      <c r="E20" s="23"/>
      <c r="F20" s="23"/>
      <c r="G20" s="23"/>
      <c r="H20" s="23"/>
      <c r="I20" s="23"/>
      <c r="J20" s="23"/>
      <c r="K20" s="23"/>
    </row>
    <row r="21" spans="2:15" ht="15" customHeight="1" x14ac:dyDescent="0.35">
      <c r="B21" s="12" t="s">
        <v>23</v>
      </c>
      <c r="C21" s="33">
        <v>3449</v>
      </c>
      <c r="D21" s="33">
        <v>4422</v>
      </c>
      <c r="E21" s="33">
        <v>3962</v>
      </c>
      <c r="F21" s="33">
        <v>4402</v>
      </c>
      <c r="G21" s="34">
        <f>Assumptions!G10</f>
        <v>4871.9800663420319</v>
      </c>
      <c r="H21" s="34">
        <f>Assumptions!H10</f>
        <v>5321.6614954219613</v>
      </c>
      <c r="I21" s="34">
        <f>Assumptions!I10</f>
        <v>5841.4830259672999</v>
      </c>
      <c r="J21" s="34">
        <f>Assumptions!J10</f>
        <v>6412.0808833893016</v>
      </c>
      <c r="K21" s="34">
        <f>Assumptions!K10</f>
        <v>7038.4149149039558</v>
      </c>
    </row>
    <row r="22" spans="2:15" ht="11.5" customHeight="1" x14ac:dyDescent="0.35">
      <c r="B22" s="12" t="s">
        <v>24</v>
      </c>
      <c r="C22" s="33">
        <v>-779</v>
      </c>
      <c r="D22" s="33">
        <v>-778</v>
      </c>
      <c r="E22" s="33">
        <v>-796</v>
      </c>
      <c r="F22" s="33">
        <v>-1227</v>
      </c>
      <c r="G22" s="34">
        <f t="shared" ref="G22:K22" si="17">F22</f>
        <v>-1227</v>
      </c>
      <c r="H22" s="34">
        <f t="shared" si="17"/>
        <v>-1227</v>
      </c>
      <c r="I22" s="34">
        <f t="shared" si="17"/>
        <v>-1227</v>
      </c>
      <c r="J22" s="34">
        <f t="shared" si="17"/>
        <v>-1227</v>
      </c>
      <c r="K22" s="34">
        <f t="shared" si="17"/>
        <v>-1227</v>
      </c>
    </row>
    <row r="23" spans="2:15" ht="11.5" customHeight="1" x14ac:dyDescent="0.35">
      <c r="B23" s="12"/>
      <c r="C23" s="42"/>
      <c r="D23" s="33"/>
      <c r="E23" s="33"/>
      <c r="F23" s="6"/>
      <c r="G23" s="34"/>
      <c r="H23" s="34"/>
      <c r="I23" s="34"/>
      <c r="J23" s="34"/>
      <c r="K23" s="34"/>
    </row>
    <row r="24" spans="2:15" x14ac:dyDescent="0.35">
      <c r="B24" s="15" t="s">
        <v>25</v>
      </c>
      <c r="C24" s="39">
        <f>SUM(C18,C21,C22)</f>
        <v>56907</v>
      </c>
      <c r="D24" s="39">
        <f t="shared" ref="D24:K24" si="18">SUM(D18,D21,D22)</f>
        <v>62955</v>
      </c>
      <c r="E24" s="39">
        <f t="shared" si="18"/>
        <v>65331</v>
      </c>
      <c r="F24" s="39">
        <f t="shared" si="18"/>
        <v>70013</v>
      </c>
      <c r="G24" s="39">
        <f t="shared" si="18"/>
        <v>78926.5768019471</v>
      </c>
      <c r="H24" s="39">
        <f t="shared" si="18"/>
        <v>88441.292554951258</v>
      </c>
      <c r="I24" s="39">
        <f t="shared" si="18"/>
        <v>99491.757230733987</v>
      </c>
      <c r="J24" s="39">
        <f t="shared" si="18"/>
        <v>111792.68985207712</v>
      </c>
      <c r="K24" s="39">
        <f t="shared" si="18"/>
        <v>125464.45775950898</v>
      </c>
    </row>
    <row r="25" spans="2:15" x14ac:dyDescent="0.35">
      <c r="B25" s="12" t="s">
        <v>26</v>
      </c>
      <c r="C25" s="42"/>
      <c r="D25" s="33">
        <v>958</v>
      </c>
      <c r="E25" s="33">
        <v>0</v>
      </c>
      <c r="F25" s="33">
        <v>4526</v>
      </c>
      <c r="G25" s="46"/>
      <c r="H25" s="46"/>
      <c r="I25" s="46"/>
      <c r="J25" s="46"/>
      <c r="K25" s="46"/>
    </row>
    <row r="26" spans="2:15" x14ac:dyDescent="0.35">
      <c r="B26" s="15" t="s">
        <v>27</v>
      </c>
      <c r="C26" s="39">
        <f>C24-C25</f>
        <v>56907</v>
      </c>
      <c r="D26" s="39">
        <f t="shared" ref="D26:K26" si="19">D24-D25</f>
        <v>61997</v>
      </c>
      <c r="E26" s="39">
        <f t="shared" si="19"/>
        <v>65331</v>
      </c>
      <c r="F26" s="39">
        <f t="shared" si="19"/>
        <v>65487</v>
      </c>
      <c r="G26" s="39">
        <f>G24-G25</f>
        <v>78926.5768019471</v>
      </c>
      <c r="H26" s="39">
        <f t="shared" si="19"/>
        <v>88441.292554951258</v>
      </c>
      <c r="I26" s="39">
        <f t="shared" si="19"/>
        <v>99491.757230733987</v>
      </c>
      <c r="J26" s="39">
        <f t="shared" si="19"/>
        <v>111792.68985207712</v>
      </c>
      <c r="K26" s="39">
        <f t="shared" si="19"/>
        <v>125464.45775950898</v>
      </c>
    </row>
    <row r="27" spans="2:15" ht="6" customHeight="1" x14ac:dyDescent="0.35">
      <c r="B27" s="11"/>
      <c r="C27" s="43"/>
      <c r="D27" s="34"/>
      <c r="E27" s="34"/>
      <c r="F27" s="34"/>
      <c r="G27" s="34"/>
      <c r="H27" s="34"/>
      <c r="I27" s="34"/>
      <c r="J27" s="34"/>
      <c r="K27" s="34"/>
    </row>
    <row r="28" spans="2:15" x14ac:dyDescent="0.35">
      <c r="B28" s="12" t="s">
        <v>28</v>
      </c>
      <c r="C28" s="33">
        <v>14757</v>
      </c>
      <c r="D28" s="33">
        <v>15864</v>
      </c>
      <c r="E28" s="33">
        <v>16910</v>
      </c>
      <c r="F28" s="33">
        <v>16388</v>
      </c>
      <c r="G28" s="47"/>
      <c r="H28" s="47"/>
      <c r="I28" s="47"/>
      <c r="J28" s="47"/>
      <c r="K28" s="47"/>
    </row>
    <row r="29" spans="2:15" x14ac:dyDescent="0.35">
      <c r="B29" s="12" t="s">
        <v>29</v>
      </c>
      <c r="C29" s="33">
        <v>-153</v>
      </c>
      <c r="D29" s="33">
        <v>34</v>
      </c>
      <c r="E29" s="33">
        <v>-376</v>
      </c>
      <c r="F29" s="33">
        <v>-355</v>
      </c>
      <c r="G29" s="48"/>
      <c r="H29" s="47"/>
      <c r="I29" s="47"/>
      <c r="J29" s="47"/>
      <c r="K29" s="47"/>
    </row>
    <row r="30" spans="2:15" x14ac:dyDescent="0.35">
      <c r="B30" s="13" t="s">
        <v>30</v>
      </c>
      <c r="C30" s="36">
        <f>SUM(C28:C29)</f>
        <v>14604</v>
      </c>
      <c r="D30" s="36">
        <f>D28+D29</f>
        <v>15898</v>
      </c>
      <c r="E30" s="36">
        <f>E28+E29</f>
        <v>16534</v>
      </c>
      <c r="F30" s="36">
        <f>F28+F29</f>
        <v>16033</v>
      </c>
      <c r="G30" s="34">
        <f>G26*Assumptions!G32</f>
        <v>19948.07438589193</v>
      </c>
      <c r="H30" s="34">
        <f>H26*Assumptions!H32</f>
        <v>22352.844303606929</v>
      </c>
      <c r="I30" s="34">
        <f>I26*Assumptions!I32</f>
        <v>25145.762738474954</v>
      </c>
      <c r="J30" s="34">
        <f>J26*Assumptions!J32</f>
        <v>28254.72715691333</v>
      </c>
      <c r="K30" s="34">
        <f>K26*Assumptions!K32</f>
        <v>31710.159461908126</v>
      </c>
    </row>
    <row r="31" spans="2:15" ht="6" customHeight="1" x14ac:dyDescent="0.35">
      <c r="B31" s="11"/>
      <c r="C31" s="43"/>
      <c r="D31" s="34"/>
      <c r="E31" s="34"/>
      <c r="F31" s="34"/>
      <c r="G31" s="34"/>
      <c r="H31" s="34"/>
      <c r="I31" s="34"/>
      <c r="J31" s="34"/>
      <c r="K31" s="34"/>
    </row>
    <row r="32" spans="2:15" x14ac:dyDescent="0.35">
      <c r="B32" s="17" t="s">
        <v>31</v>
      </c>
      <c r="C32" s="44">
        <f>C26-C30</f>
        <v>42303</v>
      </c>
      <c r="D32" s="44">
        <f t="shared" ref="D32:K32" si="20">D26-D30</f>
        <v>46099</v>
      </c>
      <c r="E32" s="44">
        <f t="shared" si="20"/>
        <v>48797</v>
      </c>
      <c r="F32" s="44">
        <f t="shared" si="20"/>
        <v>49454</v>
      </c>
      <c r="G32" s="44">
        <f t="shared" si="20"/>
        <v>58978.502416055169</v>
      </c>
      <c r="H32" s="44">
        <f t="shared" si="20"/>
        <v>66088.448251344322</v>
      </c>
      <c r="I32" s="44">
        <f t="shared" si="20"/>
        <v>74345.994492259037</v>
      </c>
      <c r="J32" s="44">
        <f t="shared" si="20"/>
        <v>83537.962695163791</v>
      </c>
      <c r="K32" s="44">
        <f t="shared" si="20"/>
        <v>93754.29829760085</v>
      </c>
    </row>
    <row r="33" spans="2:11" x14ac:dyDescent="0.35">
      <c r="B33" s="19" t="s">
        <v>94</v>
      </c>
      <c r="C33" s="19"/>
      <c r="D33" s="27">
        <f>D32/D7</f>
        <v>0.19136712150207769</v>
      </c>
      <c r="E33" s="27">
        <f t="shared" ref="E33:K33" si="21">E32/E7</f>
        <v>0.19111795209224358</v>
      </c>
      <c r="F33" s="27">
        <f t="shared" si="21"/>
        <v>0.18520640698671639</v>
      </c>
      <c r="G33" s="20">
        <f t="shared" si="21"/>
        <v>0.20321288791478559</v>
      </c>
      <c r="H33" s="20">
        <f t="shared" si="21"/>
        <v>0.20846892092870298</v>
      </c>
      <c r="I33" s="20">
        <f t="shared" si="21"/>
        <v>0.21364732811039802</v>
      </c>
      <c r="J33" s="20">
        <f t="shared" si="21"/>
        <v>0.2186995539800469</v>
      </c>
      <c r="K33" s="20">
        <f t="shared" si="21"/>
        <v>0.22360387861220599</v>
      </c>
    </row>
    <row r="34" spans="2:11" x14ac:dyDescent="0.35">
      <c r="B34" s="13"/>
      <c r="C34" s="13"/>
      <c r="D34" s="8"/>
      <c r="E34" s="8"/>
      <c r="F34" s="8"/>
    </row>
    <row r="35" spans="2:11" x14ac:dyDescent="0.35">
      <c r="B35" s="12" t="s">
        <v>32</v>
      </c>
      <c r="C35" s="12"/>
      <c r="D35" s="33">
        <v>45908</v>
      </c>
      <c r="E35" s="33">
        <v>48553</v>
      </c>
      <c r="F35" s="33">
        <v>49210</v>
      </c>
    </row>
    <row r="36" spans="2:11" x14ac:dyDescent="0.35">
      <c r="B36" s="12" t="s">
        <v>33</v>
      </c>
      <c r="C36" s="12"/>
      <c r="D36" s="33">
        <v>191</v>
      </c>
      <c r="E36" s="33">
        <v>244</v>
      </c>
      <c r="F36" s="33">
        <v>244</v>
      </c>
    </row>
    <row r="37" spans="2:11" ht="6" customHeight="1" x14ac:dyDescent="0.35">
      <c r="B37" s="11"/>
      <c r="C37" s="11"/>
    </row>
    <row r="38" spans="2:11" ht="15.75" customHeight="1" x14ac:dyDescent="0.35">
      <c r="B38" s="119"/>
      <c r="C38" s="119"/>
      <c r="D38" s="119"/>
      <c r="E38" s="119"/>
      <c r="F38" s="119"/>
      <c r="G38" s="119"/>
      <c r="H38" s="119"/>
      <c r="I38" s="119"/>
      <c r="J38" s="119"/>
      <c r="K38" s="119"/>
    </row>
    <row r="39" spans="2:11" x14ac:dyDescent="0.35">
      <c r="B39" s="12"/>
      <c r="C39" s="12"/>
      <c r="D39" s="5"/>
      <c r="E39" s="5"/>
      <c r="F39" s="5"/>
    </row>
    <row r="40" spans="2:11" x14ac:dyDescent="0.35">
      <c r="B40" s="12"/>
      <c r="C40" s="12"/>
      <c r="D40" s="5"/>
      <c r="E40" s="5"/>
      <c r="F40" s="5"/>
    </row>
    <row r="41" spans="2:11" x14ac:dyDescent="0.35">
      <c r="B41" s="12"/>
      <c r="C41" s="12"/>
      <c r="D41" s="5"/>
      <c r="E41" s="5"/>
      <c r="F41" s="5"/>
    </row>
    <row r="42" spans="2:11" x14ac:dyDescent="0.35">
      <c r="B42" s="12"/>
      <c r="C42" s="12"/>
      <c r="D42" s="2"/>
      <c r="E42" s="2"/>
      <c r="F42" s="2"/>
    </row>
  </sheetData>
  <mergeCells count="3">
    <mergeCell ref="B1:K1"/>
    <mergeCell ref="B38:K38"/>
    <mergeCell ref="B2:K2"/>
  </mergeCells>
  <phoneticPr fontId="6" type="noConversion"/>
  <pageMargins left="0.25" right="0.25" top="0.75" bottom="0.75" header="0.3" footer="0.3"/>
  <pageSetup paperSize="9" scale="53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55"/>
  <sheetViews>
    <sheetView showGridLines="0" zoomScale="68" zoomScaleNormal="100" workbookViewId="0">
      <pane xSplit="1" ySplit="3" topLeftCell="B9" activePane="bottomRight" state="frozen"/>
      <selection pane="topRight" activeCell="B1" sqref="B1"/>
      <selection pane="bottomLeft" activeCell="A4" sqref="A4"/>
      <selection pane="bottomRight" activeCell="G34" sqref="G34"/>
    </sheetView>
  </sheetViews>
  <sheetFormatPr defaultColWidth="8.54296875" defaultRowHeight="14.5" x14ac:dyDescent="0.35"/>
  <cols>
    <col min="1" max="1" width="1.81640625" customWidth="1"/>
    <col min="2" max="2" width="42" customWidth="1"/>
    <col min="3" max="3" width="26.7265625" customWidth="1"/>
    <col min="4" max="6" width="16" customWidth="1"/>
    <col min="7" max="11" width="17.453125" customWidth="1"/>
  </cols>
  <sheetData>
    <row r="1" spans="2:15" ht="21.75" customHeight="1" x14ac:dyDescent="0.35">
      <c r="B1" s="118" t="s">
        <v>34</v>
      </c>
      <c r="C1" s="118"/>
      <c r="D1" s="118"/>
      <c r="E1" s="118"/>
      <c r="F1" s="118"/>
      <c r="G1" s="118"/>
      <c r="H1" s="118"/>
      <c r="I1" s="118"/>
      <c r="J1" s="118"/>
      <c r="K1" s="118"/>
    </row>
    <row r="2" spans="2:15" x14ac:dyDescent="0.35">
      <c r="B2" s="120" t="s">
        <v>13</v>
      </c>
      <c r="C2" s="120"/>
      <c r="D2" s="120"/>
      <c r="E2" s="120"/>
      <c r="F2" s="120"/>
      <c r="G2" s="120"/>
      <c r="H2" s="120"/>
      <c r="I2" s="120"/>
      <c r="J2" s="120"/>
      <c r="K2" s="120"/>
    </row>
    <row r="3" spans="2:15" ht="15" customHeight="1" x14ac:dyDescent="0.35">
      <c r="B3" s="10" t="s">
        <v>1</v>
      </c>
      <c r="C3" s="10"/>
      <c r="D3" s="9">
        <v>45382</v>
      </c>
      <c r="E3" s="9">
        <v>45747</v>
      </c>
      <c r="F3" s="9">
        <v>46112</v>
      </c>
      <c r="G3" s="16">
        <v>46477</v>
      </c>
      <c r="H3" s="16">
        <v>46843</v>
      </c>
      <c r="I3" s="16">
        <v>47208</v>
      </c>
      <c r="J3" s="16">
        <v>47573</v>
      </c>
      <c r="K3" s="16">
        <v>47938</v>
      </c>
    </row>
    <row r="4" spans="2:15" ht="12" customHeight="1" x14ac:dyDescent="0.35">
      <c r="B4" s="21" t="s">
        <v>35</v>
      </c>
      <c r="C4" s="21"/>
      <c r="D4" s="21"/>
      <c r="E4" s="21"/>
      <c r="F4" s="21"/>
      <c r="G4" s="18"/>
      <c r="H4" s="18"/>
      <c r="I4" s="18"/>
      <c r="J4" s="18"/>
      <c r="K4" s="18"/>
    </row>
    <row r="5" spans="2:15" x14ac:dyDescent="0.35">
      <c r="B5" s="7" t="s">
        <v>36</v>
      </c>
      <c r="C5" s="7"/>
      <c r="D5" s="8"/>
      <c r="E5" s="8"/>
      <c r="F5" s="8"/>
    </row>
    <row r="6" spans="2:15" x14ac:dyDescent="0.35">
      <c r="B6" s="1" t="s">
        <v>37</v>
      </c>
      <c r="C6" s="33">
        <v>10230</v>
      </c>
      <c r="D6" s="33">
        <v>9376</v>
      </c>
      <c r="E6" s="33">
        <v>10978</v>
      </c>
      <c r="F6" s="33">
        <v>11032</v>
      </c>
      <c r="G6" s="34">
        <f>'Asset schedule'!G11</f>
        <v>10238.722407733541</v>
      </c>
      <c r="H6" s="34">
        <f>'Asset schedule'!H11</f>
        <v>9711.3529770711611</v>
      </c>
      <c r="I6" s="34">
        <f>'Asset schedule'!I11</f>
        <v>9487.8917863383176</v>
      </c>
      <c r="J6" s="34">
        <f>'Asset schedule'!J11</f>
        <v>9612.4377732342182</v>
      </c>
      <c r="K6" s="34">
        <f>'Asset schedule'!K11</f>
        <v>10136.515255543876</v>
      </c>
    </row>
    <row r="7" spans="2:15" x14ac:dyDescent="0.35">
      <c r="B7" s="1" t="s">
        <v>38</v>
      </c>
      <c r="C7" s="33">
        <v>1234</v>
      </c>
      <c r="D7" s="33">
        <v>1564</v>
      </c>
      <c r="E7" s="33">
        <v>1546</v>
      </c>
      <c r="F7" s="33">
        <v>2665</v>
      </c>
      <c r="G7" s="34">
        <f>Assumptions!G43</f>
        <v>2163.1709905707917</v>
      </c>
      <c r="H7" s="34">
        <f>Assumptions!H43</f>
        <v>2266.415033974266</v>
      </c>
      <c r="I7" s="34">
        <f>Assumptions!I43</f>
        <v>2379.9069727788956</v>
      </c>
      <c r="J7" s="34">
        <f>Assumptions!J43</f>
        <v>2505.2835333683593</v>
      </c>
      <c r="K7" s="34">
        <f>Assumptions!K43</f>
        <v>2644.4427341658543</v>
      </c>
    </row>
    <row r="8" spans="2:15" x14ac:dyDescent="0.35">
      <c r="B8" s="1" t="s">
        <v>39</v>
      </c>
      <c r="C8" s="33">
        <v>7560</v>
      </c>
      <c r="D8" s="33">
        <v>7886</v>
      </c>
      <c r="E8" s="33">
        <v>9275</v>
      </c>
      <c r="F8" s="33">
        <v>11027</v>
      </c>
      <c r="G8" s="34">
        <f>'Asset schedule'!G24</f>
        <v>11027</v>
      </c>
      <c r="H8" s="34">
        <f>'Asset schedule'!H24</f>
        <v>11027</v>
      </c>
      <c r="I8" s="34">
        <f>'Asset schedule'!I24</f>
        <v>11027</v>
      </c>
      <c r="J8" s="34">
        <f>'Asset schedule'!J24</f>
        <v>11027</v>
      </c>
      <c r="K8" s="34">
        <f>'Asset schedule'!K24</f>
        <v>11027</v>
      </c>
    </row>
    <row r="9" spans="2:15" x14ac:dyDescent="0.35">
      <c r="B9" s="1" t="s">
        <v>40</v>
      </c>
      <c r="C9" s="33">
        <v>1858</v>
      </c>
      <c r="D9" s="33">
        <v>1832</v>
      </c>
      <c r="E9" s="33">
        <v>1860</v>
      </c>
      <c r="F9" s="33">
        <v>9108</v>
      </c>
      <c r="G9" s="34">
        <f>F9</f>
        <v>9108</v>
      </c>
      <c r="H9" s="34">
        <f t="shared" ref="H9:J9" si="0">G9</f>
        <v>9108</v>
      </c>
      <c r="I9" s="34">
        <f t="shared" si="0"/>
        <v>9108</v>
      </c>
      <c r="J9" s="34">
        <f t="shared" si="0"/>
        <v>9108</v>
      </c>
      <c r="K9" s="34">
        <f>J9</f>
        <v>9108</v>
      </c>
    </row>
    <row r="10" spans="2:15" x14ac:dyDescent="0.35">
      <c r="B10" s="1" t="s">
        <v>41</v>
      </c>
      <c r="C10" s="33">
        <v>867</v>
      </c>
      <c r="D10" s="33">
        <v>510</v>
      </c>
      <c r="E10" s="33">
        <v>940</v>
      </c>
      <c r="F10" s="33">
        <v>176</v>
      </c>
      <c r="G10" s="34">
        <f>'Asset schedule'!G43</f>
        <v>266</v>
      </c>
      <c r="H10" s="34">
        <f>'Asset schedule'!H43</f>
        <v>379</v>
      </c>
      <c r="I10" s="34">
        <f>'Asset schedule'!I43</f>
        <v>512</v>
      </c>
      <c r="J10" s="34">
        <f>'Asset schedule'!J43</f>
        <v>667</v>
      </c>
      <c r="K10" s="34">
        <f>'Asset schedule'!K43</f>
        <v>827</v>
      </c>
    </row>
    <row r="11" spans="2:15" x14ac:dyDescent="0.35">
      <c r="B11" s="1" t="s">
        <v>42</v>
      </c>
      <c r="C11" s="33">
        <v>11632</v>
      </c>
      <c r="D11" s="33">
        <v>12297</v>
      </c>
      <c r="E11" s="33">
        <v>12019</v>
      </c>
      <c r="F11" s="33">
        <v>12659</v>
      </c>
      <c r="G11" s="34">
        <f t="shared" ref="G11:K11" si="1">F11</f>
        <v>12659</v>
      </c>
      <c r="H11" s="34">
        <f t="shared" si="1"/>
        <v>12659</v>
      </c>
      <c r="I11" s="34">
        <f t="shared" si="1"/>
        <v>12659</v>
      </c>
      <c r="J11" s="34">
        <f t="shared" si="1"/>
        <v>12659</v>
      </c>
      <c r="K11" s="34">
        <f t="shared" si="1"/>
        <v>12659</v>
      </c>
      <c r="O11">
        <v>11632</v>
      </c>
    </row>
    <row r="12" spans="2:15" x14ac:dyDescent="0.35">
      <c r="B12" s="1"/>
      <c r="C12" s="61"/>
      <c r="D12" s="61"/>
      <c r="E12" s="61"/>
      <c r="F12" s="61"/>
      <c r="G12" s="34"/>
      <c r="H12" s="34"/>
      <c r="I12" s="34"/>
      <c r="J12" s="34"/>
      <c r="K12" s="34"/>
    </row>
    <row r="13" spans="2:15" x14ac:dyDescent="0.35">
      <c r="D13" s="33"/>
      <c r="E13" s="33"/>
      <c r="F13" s="33"/>
      <c r="G13" s="34"/>
      <c r="H13" s="34"/>
      <c r="I13" s="34"/>
      <c r="J13" s="34"/>
      <c r="K13" s="34"/>
    </row>
    <row r="14" spans="2:15" x14ac:dyDescent="0.35">
      <c r="B14" s="31" t="s">
        <v>43</v>
      </c>
      <c r="C14" s="38">
        <f>SUM(C6:C11)</f>
        <v>33381</v>
      </c>
      <c r="D14" s="38">
        <f t="shared" ref="D14:K14" si="2">SUM(D6:D11)</f>
        <v>33465</v>
      </c>
      <c r="E14" s="38">
        <f t="shared" si="2"/>
        <v>36618</v>
      </c>
      <c r="F14" s="38">
        <f t="shared" si="2"/>
        <v>46667</v>
      </c>
      <c r="G14" s="38">
        <f t="shared" si="2"/>
        <v>45461.893398304332</v>
      </c>
      <c r="H14" s="38">
        <f t="shared" si="2"/>
        <v>45150.768011045424</v>
      </c>
      <c r="I14" s="38">
        <f t="shared" si="2"/>
        <v>45173.798759117213</v>
      </c>
      <c r="J14" s="38">
        <f t="shared" si="2"/>
        <v>45578.72130660258</v>
      </c>
      <c r="K14" s="38">
        <f t="shared" si="2"/>
        <v>46401.957989709728</v>
      </c>
    </row>
    <row r="15" spans="2:15" ht="6" customHeight="1" x14ac:dyDescent="0.35">
      <c r="D15" s="34"/>
      <c r="E15" s="34"/>
      <c r="F15" s="34"/>
      <c r="G15" s="34"/>
      <c r="H15" s="34"/>
      <c r="I15" s="34"/>
      <c r="J15" s="34"/>
      <c r="K15" s="34"/>
    </row>
    <row r="16" spans="2:15" x14ac:dyDescent="0.35">
      <c r="B16" s="32" t="s">
        <v>45</v>
      </c>
      <c r="C16" s="32"/>
      <c r="D16" s="37"/>
      <c r="E16" s="37"/>
      <c r="F16" s="37"/>
      <c r="G16" s="70"/>
      <c r="H16" s="70"/>
      <c r="I16" s="70"/>
      <c r="J16" s="70"/>
      <c r="K16" s="70"/>
    </row>
    <row r="17" spans="2:12" x14ac:dyDescent="0.35">
      <c r="B17" s="1" t="s">
        <v>56</v>
      </c>
      <c r="C17" s="33">
        <v>28</v>
      </c>
      <c r="D17" s="33">
        <v>28</v>
      </c>
      <c r="E17" s="33">
        <v>21</v>
      </c>
      <c r="F17" s="33">
        <v>29</v>
      </c>
      <c r="G17" s="34">
        <f>F17</f>
        <v>29</v>
      </c>
      <c r="H17" s="34">
        <f t="shared" ref="H17:K17" si="3">G17</f>
        <v>29</v>
      </c>
      <c r="I17" s="34">
        <f t="shared" si="3"/>
        <v>29</v>
      </c>
      <c r="J17" s="34">
        <f t="shared" si="3"/>
        <v>29</v>
      </c>
      <c r="K17" s="34">
        <f t="shared" si="3"/>
        <v>29</v>
      </c>
    </row>
    <row r="18" spans="2:12" x14ac:dyDescent="0.35">
      <c r="B18" s="1" t="s">
        <v>57</v>
      </c>
      <c r="C18" s="33">
        <v>36897</v>
      </c>
      <c r="D18" s="33">
        <v>31481</v>
      </c>
      <c r="E18" s="33">
        <v>30689</v>
      </c>
      <c r="F18" s="33">
        <v>33770</v>
      </c>
      <c r="G18" s="34">
        <f>Assumptions!G51</f>
        <v>36506.144933128635</v>
      </c>
      <c r="H18" s="34">
        <f>Assumptions!H51</f>
        <v>39875.64464375734</v>
      </c>
      <c r="I18" s="34">
        <f>Assumptions!I51</f>
        <v>43770.709868787482</v>
      </c>
      <c r="J18" s="34">
        <f>Assumptions!J51</f>
        <v>48046.246262190682</v>
      </c>
      <c r="K18" s="34">
        <f>Assumptions!K51</f>
        <v>52739.418364635712</v>
      </c>
    </row>
    <row r="19" spans="2:12" x14ac:dyDescent="0.35">
      <c r="B19" s="1" t="s">
        <v>105</v>
      </c>
      <c r="C19" s="33">
        <v>49954</v>
      </c>
      <c r="D19" s="33">
        <v>53577</v>
      </c>
      <c r="E19" s="33">
        <v>59046</v>
      </c>
      <c r="F19" s="33">
        <v>67714</v>
      </c>
      <c r="G19" s="34">
        <f>('P&amp;L'!G4/365)*Assumptions!G53</f>
        <v>68422.681086827943</v>
      </c>
      <c r="H19" s="34">
        <f>('P&amp;L'!H4/365)*Assumptions!H53</f>
        <v>74738.06181368434</v>
      </c>
      <c r="I19" s="34">
        <f>('P&amp;L'!I4/365)*Assumptions!I53</f>
        <v>82038.498663229024</v>
      </c>
      <c r="J19" s="34">
        <f>('P&amp;L'!J4/365)*Assumptions!J53</f>
        <v>90052.044428108609</v>
      </c>
      <c r="K19" s="34">
        <f>('P&amp;L'!K4/365)*Assumptions!K53</f>
        <v>98848.355806355103</v>
      </c>
    </row>
    <row r="20" spans="2:12" x14ac:dyDescent="0.35">
      <c r="B20" s="1" t="s">
        <v>58</v>
      </c>
      <c r="C20" s="33">
        <v>7123</v>
      </c>
      <c r="D20" s="33">
        <v>9016</v>
      </c>
      <c r="E20" s="33">
        <v>8342</v>
      </c>
      <c r="F20" s="33">
        <v>6417</v>
      </c>
      <c r="G20" s="69">
        <f>'Cash Flow'!G41</f>
        <v>15549.84264736747</v>
      </c>
      <c r="H20" s="69">
        <f>'Cash Flow'!H41</f>
        <v>16758.084791700989</v>
      </c>
      <c r="I20" s="69">
        <f>'Cash Flow'!I41</f>
        <v>17536.493277036418</v>
      </c>
      <c r="J20" s="69">
        <f>'Cash Flow'!J41</f>
        <v>14936.060291628564</v>
      </c>
      <c r="K20" s="69">
        <f>'Cash Flow'!K41</f>
        <v>11901.70446452438</v>
      </c>
      <c r="L20" t="s">
        <v>108</v>
      </c>
    </row>
    <row r="21" spans="2:12" x14ac:dyDescent="0.35">
      <c r="B21" s="1" t="s">
        <v>59</v>
      </c>
      <c r="C21" s="33">
        <v>3909</v>
      </c>
      <c r="D21" s="33">
        <v>4270</v>
      </c>
      <c r="E21" s="33">
        <v>7121</v>
      </c>
      <c r="F21" s="33">
        <v>6491</v>
      </c>
      <c r="G21" s="34">
        <f>Assumptions!G55</f>
        <v>6764.7530033083449</v>
      </c>
      <c r="H21" s="34">
        <f>Assumptions!H55</f>
        <v>7389.1364688557342</v>
      </c>
      <c r="I21" s="34">
        <f>Assumptions!I55</f>
        <v>8110.9095902677736</v>
      </c>
      <c r="J21" s="34">
        <f>Assumptions!J55</f>
        <v>8903.1857320244289</v>
      </c>
      <c r="K21" s="34">
        <f>Assumptions!K55</f>
        <v>9772.8516508228586</v>
      </c>
    </row>
    <row r="22" spans="2:12" x14ac:dyDescent="0.35">
      <c r="B22" s="1" t="s">
        <v>60</v>
      </c>
      <c r="C22" s="33">
        <v>12359</v>
      </c>
      <c r="D22" s="33">
        <v>14612</v>
      </c>
      <c r="E22" s="33">
        <v>17792</v>
      </c>
      <c r="F22" s="33">
        <v>21284</v>
      </c>
      <c r="G22" s="34">
        <f>F22</f>
        <v>21284</v>
      </c>
      <c r="H22" s="34">
        <f t="shared" ref="H22:K22" si="4">G22</f>
        <v>21284</v>
      </c>
      <c r="I22" s="34">
        <f t="shared" si="4"/>
        <v>21284</v>
      </c>
      <c r="J22" s="34">
        <f t="shared" si="4"/>
        <v>21284</v>
      </c>
      <c r="K22" s="34">
        <f t="shared" si="4"/>
        <v>21284</v>
      </c>
    </row>
    <row r="23" spans="2:12" x14ac:dyDescent="0.35">
      <c r="B23" s="71" t="s">
        <v>54</v>
      </c>
      <c r="C23" s="39">
        <f>SUM(C17:C22)</f>
        <v>110270</v>
      </c>
      <c r="D23" s="39">
        <f>SUM(D17:D22)</f>
        <v>112984</v>
      </c>
      <c r="E23" s="39">
        <f>SUM(E17:E22)</f>
        <v>123011</v>
      </c>
      <c r="F23" s="39">
        <f>SUM(F17:F22)</f>
        <v>135705</v>
      </c>
      <c r="G23" s="39">
        <f>SUM(G17:G22)</f>
        <v>148556.42167063241</v>
      </c>
      <c r="H23" s="39">
        <f t="shared" ref="H23:K23" si="5">SUM(H17:H22)</f>
        <v>160073.92771799839</v>
      </c>
      <c r="I23" s="39">
        <f t="shared" si="5"/>
        <v>172769.61139932071</v>
      </c>
      <c r="J23" s="39">
        <f t="shared" si="5"/>
        <v>183250.53671395229</v>
      </c>
      <c r="K23" s="39">
        <f t="shared" si="5"/>
        <v>194575.33028633802</v>
      </c>
    </row>
    <row r="24" spans="2:12" ht="6" customHeight="1" x14ac:dyDescent="0.35">
      <c r="D24" s="34"/>
      <c r="E24" s="34"/>
      <c r="F24" s="34"/>
      <c r="G24" s="34"/>
      <c r="H24" s="34"/>
      <c r="I24" s="34"/>
      <c r="J24" s="34"/>
      <c r="K24" s="34"/>
    </row>
    <row r="25" spans="2:12" x14ac:dyDescent="0.35">
      <c r="B25" s="31" t="s">
        <v>55</v>
      </c>
      <c r="C25" s="38">
        <f>SUM(C14,C23)</f>
        <v>143651</v>
      </c>
      <c r="D25" s="38">
        <f>SUM(D14,D23)</f>
        <v>146449</v>
      </c>
      <c r="E25" s="38">
        <f>SUM(E14,E23)</f>
        <v>159629</v>
      </c>
      <c r="F25" s="38">
        <f>SUM(F14,F23)</f>
        <v>182372</v>
      </c>
      <c r="G25" s="38">
        <f>SUM(G14,G23)</f>
        <v>194018.31506893673</v>
      </c>
      <c r="H25" s="38">
        <f t="shared" ref="H25:J25" si="6">SUM(H14,H23)</f>
        <v>205224.6957290438</v>
      </c>
      <c r="I25" s="38">
        <f t="shared" si="6"/>
        <v>217943.41015843791</v>
      </c>
      <c r="J25" s="38">
        <f t="shared" si="6"/>
        <v>228829.25802055487</v>
      </c>
      <c r="K25" s="38">
        <f>SUM(K14,K23)</f>
        <v>240977.28827604774</v>
      </c>
    </row>
    <row r="26" spans="2:12" ht="6" customHeight="1" x14ac:dyDescent="0.35">
      <c r="D26" s="34"/>
      <c r="E26" s="34"/>
      <c r="F26" s="34"/>
      <c r="G26" s="34"/>
      <c r="H26" s="34"/>
      <c r="I26" s="34"/>
      <c r="J26" s="34"/>
      <c r="K26" s="34"/>
    </row>
    <row r="27" spans="2:12" ht="15.75" customHeight="1" x14ac:dyDescent="0.35">
      <c r="B27" s="32" t="s">
        <v>53</v>
      </c>
      <c r="C27" s="32"/>
      <c r="D27" s="37"/>
      <c r="E27" s="37"/>
      <c r="F27" s="37"/>
      <c r="G27" s="37"/>
      <c r="H27" s="37"/>
      <c r="I27" s="37"/>
      <c r="J27" s="37"/>
      <c r="K27" s="37"/>
    </row>
    <row r="28" spans="2:12" x14ac:dyDescent="0.35">
      <c r="B28" s="7" t="s">
        <v>52</v>
      </c>
      <c r="C28" s="7"/>
      <c r="D28" s="36"/>
      <c r="E28" s="36"/>
      <c r="F28" s="36"/>
      <c r="G28" s="34"/>
      <c r="H28" s="34"/>
      <c r="I28" s="34"/>
      <c r="J28" s="34"/>
      <c r="K28" s="34"/>
    </row>
    <row r="29" spans="2:12" x14ac:dyDescent="0.35">
      <c r="B29" s="1" t="s">
        <v>61</v>
      </c>
      <c r="C29" s="1"/>
      <c r="D29" s="33">
        <v>362</v>
      </c>
      <c r="E29" s="33">
        <v>362</v>
      </c>
      <c r="F29" s="33">
        <v>362</v>
      </c>
      <c r="G29" s="34">
        <f>F29</f>
        <v>362</v>
      </c>
      <c r="H29" s="34">
        <f t="shared" ref="H29:K29" si="7">G29</f>
        <v>362</v>
      </c>
      <c r="I29" s="34">
        <f t="shared" si="7"/>
        <v>362</v>
      </c>
      <c r="J29" s="34">
        <f t="shared" si="7"/>
        <v>362</v>
      </c>
      <c r="K29" s="34">
        <f t="shared" si="7"/>
        <v>362</v>
      </c>
    </row>
    <row r="30" spans="2:12" x14ac:dyDescent="0.35">
      <c r="B30" s="1" t="s">
        <v>62</v>
      </c>
      <c r="C30" s="1"/>
      <c r="D30" s="33">
        <v>90127</v>
      </c>
      <c r="E30" s="33">
        <v>94394</v>
      </c>
      <c r="F30" s="33">
        <v>106878</v>
      </c>
      <c r="G30" s="34">
        <f>'Equity Schedule'!G8</f>
        <v>117494.13043488996</v>
      </c>
      <c r="H30" s="34">
        <f>'Equity Schedule'!H8</f>
        <v>125424.74422505128</v>
      </c>
      <c r="I30" s="34">
        <f>'Equity Schedule'!I8</f>
        <v>134346.26356412235</v>
      </c>
      <c r="J30" s="34">
        <f>'Equity Schedule'!J8</f>
        <v>141029.30057973543</v>
      </c>
      <c r="K30" s="34">
        <f>'Equity Schedule'!K8</f>
        <v>148529.64444354351</v>
      </c>
    </row>
    <row r="31" spans="2:12" x14ac:dyDescent="0.35">
      <c r="B31" s="1"/>
      <c r="C31" s="1"/>
      <c r="D31" s="33"/>
      <c r="E31" s="33"/>
      <c r="F31" s="33"/>
      <c r="G31" s="34"/>
      <c r="H31" s="34"/>
      <c r="I31" s="34"/>
      <c r="J31" s="34"/>
      <c r="K31" s="34"/>
    </row>
    <row r="32" spans="2:12" x14ac:dyDescent="0.35">
      <c r="B32" s="1" t="s">
        <v>63</v>
      </c>
      <c r="C32" s="1"/>
      <c r="D32" s="33">
        <v>830</v>
      </c>
      <c r="E32" s="33">
        <v>1015</v>
      </c>
      <c r="F32" s="33">
        <v>1238</v>
      </c>
      <c r="G32" s="34">
        <f t="shared" ref="G32:K32" si="8">F32</f>
        <v>1238</v>
      </c>
      <c r="H32" s="34">
        <f t="shared" si="8"/>
        <v>1238</v>
      </c>
      <c r="I32" s="34">
        <f t="shared" si="8"/>
        <v>1238</v>
      </c>
      <c r="J32" s="34">
        <f t="shared" si="8"/>
        <v>1238</v>
      </c>
      <c r="K32" s="34">
        <f t="shared" si="8"/>
        <v>1238</v>
      </c>
    </row>
    <row r="33" spans="2:11" x14ac:dyDescent="0.35">
      <c r="B33" s="31" t="s">
        <v>51</v>
      </c>
      <c r="C33" s="31"/>
      <c r="D33" s="38">
        <f>SUM(D29:D32)</f>
        <v>91319</v>
      </c>
      <c r="E33" s="38">
        <f t="shared" ref="E33:K33" si="9">SUM(E29:E32)</f>
        <v>95771</v>
      </c>
      <c r="F33" s="38">
        <f t="shared" si="9"/>
        <v>108478</v>
      </c>
      <c r="G33" s="38">
        <f>SUM(G29:G32)</f>
        <v>119094.13043488996</v>
      </c>
      <c r="H33" s="38">
        <f t="shared" si="9"/>
        <v>127024.74422505128</v>
      </c>
      <c r="I33" s="38">
        <f t="shared" si="9"/>
        <v>135946.26356412235</v>
      </c>
      <c r="J33" s="38">
        <f t="shared" si="9"/>
        <v>142629.30057973543</v>
      </c>
      <c r="K33" s="38">
        <f t="shared" si="9"/>
        <v>150129.64444354351</v>
      </c>
    </row>
    <row r="34" spans="2:11" ht="6" customHeight="1" x14ac:dyDescent="0.35">
      <c r="D34" s="34"/>
      <c r="E34" s="34"/>
      <c r="F34" s="34"/>
      <c r="G34" s="34"/>
      <c r="H34" s="34"/>
      <c r="I34" s="34"/>
      <c r="J34" s="34"/>
      <c r="K34" s="34"/>
    </row>
    <row r="35" spans="2:11" x14ac:dyDescent="0.35">
      <c r="B35" s="7" t="s">
        <v>50</v>
      </c>
      <c r="C35" s="7"/>
      <c r="D35" s="36"/>
      <c r="E35" s="36"/>
      <c r="F35" s="36"/>
      <c r="G35" s="34"/>
      <c r="H35" s="34"/>
      <c r="I35" s="34"/>
      <c r="J35" s="34"/>
      <c r="K35" s="34"/>
    </row>
    <row r="36" spans="2:11" x14ac:dyDescent="0.35">
      <c r="B36" s="1" t="s">
        <v>64</v>
      </c>
      <c r="C36" s="1"/>
      <c r="D36" s="33">
        <v>6516</v>
      </c>
      <c r="E36" s="33">
        <v>7838</v>
      </c>
      <c r="F36" s="33">
        <v>9453</v>
      </c>
      <c r="G36" s="34">
        <f t="shared" ref="G36:K36" si="10">F36</f>
        <v>9453</v>
      </c>
      <c r="H36" s="34">
        <f t="shared" si="10"/>
        <v>9453</v>
      </c>
      <c r="I36" s="34">
        <f t="shared" si="10"/>
        <v>9453</v>
      </c>
      <c r="J36" s="34">
        <f t="shared" si="10"/>
        <v>9453</v>
      </c>
      <c r="K36" s="34">
        <f t="shared" si="10"/>
        <v>9453</v>
      </c>
    </row>
    <row r="37" spans="2:11" x14ac:dyDescent="0.35">
      <c r="B37" s="1" t="s">
        <v>65</v>
      </c>
      <c r="C37" s="1"/>
      <c r="D37" s="33">
        <v>2510</v>
      </c>
      <c r="E37" s="33">
        <v>3019</v>
      </c>
      <c r="F37" s="33">
        <v>3527</v>
      </c>
      <c r="G37" s="34">
        <f>F37</f>
        <v>3527</v>
      </c>
      <c r="H37" s="34">
        <f t="shared" ref="H37:K37" si="11">G37</f>
        <v>3527</v>
      </c>
      <c r="I37" s="34">
        <f t="shared" si="11"/>
        <v>3527</v>
      </c>
      <c r="J37" s="34">
        <f t="shared" si="11"/>
        <v>3527</v>
      </c>
      <c r="K37" s="34">
        <f t="shared" si="11"/>
        <v>3527</v>
      </c>
    </row>
    <row r="38" spans="2:11" x14ac:dyDescent="0.35">
      <c r="B38" s="7" t="s">
        <v>49</v>
      </c>
      <c r="C38" s="7"/>
      <c r="D38" s="36">
        <f>SUM(D36:D37)</f>
        <v>9026</v>
      </c>
      <c r="E38" s="36">
        <f>SUM(E36:E37)</f>
        <v>10857</v>
      </c>
      <c r="F38" s="36">
        <f>SUM(F36:F37)</f>
        <v>12980</v>
      </c>
      <c r="G38" s="36">
        <f t="shared" ref="G38:K38" si="12">SUM(G36:G37)</f>
        <v>12980</v>
      </c>
      <c r="H38" s="36">
        <f t="shared" si="12"/>
        <v>12980</v>
      </c>
      <c r="I38" s="36">
        <f t="shared" si="12"/>
        <v>12980</v>
      </c>
      <c r="J38" s="36">
        <f t="shared" si="12"/>
        <v>12980</v>
      </c>
      <c r="K38" s="36">
        <f t="shared" si="12"/>
        <v>12980</v>
      </c>
    </row>
    <row r="39" spans="2:11" ht="6" customHeight="1" x14ac:dyDescent="0.35">
      <c r="D39" s="34"/>
      <c r="E39" s="34"/>
      <c r="F39" s="34"/>
      <c r="G39" s="34"/>
      <c r="H39" s="34"/>
      <c r="I39" s="34"/>
      <c r="J39" s="34"/>
      <c r="K39" s="34"/>
    </row>
    <row r="40" spans="2:11" x14ac:dyDescent="0.35">
      <c r="B40" s="7" t="s">
        <v>48</v>
      </c>
      <c r="C40" s="7"/>
      <c r="D40" s="36"/>
      <c r="E40" s="36"/>
      <c r="F40" s="36"/>
      <c r="G40" s="34"/>
      <c r="H40" s="34"/>
      <c r="I40" s="34"/>
      <c r="J40" s="34"/>
      <c r="K40" s="34"/>
    </row>
    <row r="41" spans="2:11" x14ac:dyDescent="0.35">
      <c r="B41" s="1" t="s">
        <v>66</v>
      </c>
      <c r="C41" s="1"/>
      <c r="D41" s="33">
        <v>1505</v>
      </c>
      <c r="E41" s="33">
        <v>1554</v>
      </c>
      <c r="F41" s="33">
        <v>1830</v>
      </c>
      <c r="G41" s="34">
        <f t="shared" ref="G41:K41" si="13">F41</f>
        <v>1830</v>
      </c>
      <c r="H41" s="34">
        <f t="shared" si="13"/>
        <v>1830</v>
      </c>
      <c r="I41" s="34">
        <f t="shared" si="13"/>
        <v>1830</v>
      </c>
      <c r="J41" s="34">
        <f t="shared" si="13"/>
        <v>1830</v>
      </c>
      <c r="K41" s="34">
        <f t="shared" si="13"/>
        <v>1830</v>
      </c>
    </row>
    <row r="42" spans="2:11" x14ac:dyDescent="0.35">
      <c r="B42" s="1" t="s">
        <v>67</v>
      </c>
      <c r="C42" s="1"/>
      <c r="D42" s="33">
        <v>9981</v>
      </c>
      <c r="E42" s="33">
        <v>13909</v>
      </c>
      <c r="F42" s="33">
        <v>14808</v>
      </c>
      <c r="G42" s="34">
        <f>('P&amp;L'!G9/365)*Assumptions!G62</f>
        <v>14576.144596438586</v>
      </c>
      <c r="H42" s="34">
        <f>('P&amp;L'!H9/365)*Assumptions!H62</f>
        <v>15921.515768600117</v>
      </c>
      <c r="I42" s="34">
        <f>('P&amp;L'!I9/365)*Assumptions!I62</f>
        <v>17476.734322533943</v>
      </c>
      <c r="J42" s="34">
        <f>('P&amp;L'!J9/365)*Assumptions!J62</f>
        <v>19183.867102829943</v>
      </c>
      <c r="K42" s="34">
        <f>('P&amp;L'!K9/365)*Assumptions!K62</f>
        <v>21057.753137811716</v>
      </c>
    </row>
    <row r="43" spans="2:11" x14ac:dyDescent="0.35">
      <c r="B43" s="1" t="s">
        <v>68</v>
      </c>
      <c r="C43" s="1"/>
      <c r="D43" s="33">
        <v>8362</v>
      </c>
      <c r="E43" s="33">
        <v>8542</v>
      </c>
      <c r="F43" s="33">
        <v>11194</v>
      </c>
      <c r="G43" s="34">
        <f>F43</f>
        <v>11194</v>
      </c>
      <c r="H43" s="34">
        <f t="shared" ref="H43:K44" si="14">G43</f>
        <v>11194</v>
      </c>
      <c r="I43" s="34">
        <f t="shared" si="14"/>
        <v>11194</v>
      </c>
      <c r="J43" s="34">
        <f t="shared" si="14"/>
        <v>11194</v>
      </c>
      <c r="K43" s="34">
        <f t="shared" si="14"/>
        <v>11194</v>
      </c>
    </row>
    <row r="44" spans="2:11" x14ac:dyDescent="0.35">
      <c r="B44" s="1" t="s">
        <v>69</v>
      </c>
      <c r="C44" s="1"/>
      <c r="D44" s="33">
        <v>3640</v>
      </c>
      <c r="E44" s="33">
        <v>4028</v>
      </c>
      <c r="F44" s="33">
        <v>4487</v>
      </c>
      <c r="G44" s="34">
        <f>F44</f>
        <v>4487</v>
      </c>
      <c r="H44" s="34">
        <f t="shared" si="14"/>
        <v>4487</v>
      </c>
      <c r="I44" s="34">
        <f t="shared" si="14"/>
        <v>4487</v>
      </c>
      <c r="J44" s="34">
        <f t="shared" si="14"/>
        <v>4487</v>
      </c>
      <c r="K44" s="34">
        <f t="shared" si="14"/>
        <v>4487</v>
      </c>
    </row>
    <row r="45" spans="2:11" x14ac:dyDescent="0.35">
      <c r="B45" s="1" t="s">
        <v>70</v>
      </c>
      <c r="C45" s="1"/>
      <c r="D45" s="33">
        <v>11433</v>
      </c>
      <c r="E45" s="33">
        <v>12715</v>
      </c>
      <c r="F45" s="33">
        <v>14751</v>
      </c>
      <c r="G45" s="34">
        <f>Assumptions!G67</f>
        <v>16013.040037608229</v>
      </c>
      <c r="H45" s="34">
        <f>Assumptions!H67</f>
        <v>17943.435735392486</v>
      </c>
      <c r="I45" s="34">
        <f>Assumptions!I67</f>
        <v>20185.412271781668</v>
      </c>
      <c r="J45" s="34">
        <f>Assumptions!J67</f>
        <v>22681.090337989517</v>
      </c>
      <c r="K45" s="34">
        <f>Assumptions!K67</f>
        <v>25454.890694692596</v>
      </c>
    </row>
    <row r="46" spans="2:11" x14ac:dyDescent="0.35">
      <c r="B46" s="1" t="s">
        <v>71</v>
      </c>
      <c r="C46" s="1"/>
      <c r="D46" s="33">
        <v>11183</v>
      </c>
      <c r="E46" s="33">
        <v>12253</v>
      </c>
      <c r="F46" s="33">
        <v>13844</v>
      </c>
      <c r="G46" s="34">
        <f>F46</f>
        <v>13844</v>
      </c>
      <c r="H46" s="34">
        <f t="shared" ref="H46:K46" si="15">G46</f>
        <v>13844</v>
      </c>
      <c r="I46" s="34">
        <f t="shared" si="15"/>
        <v>13844</v>
      </c>
      <c r="J46" s="34">
        <f t="shared" si="15"/>
        <v>13844</v>
      </c>
      <c r="K46" s="34">
        <f t="shared" si="15"/>
        <v>13844</v>
      </c>
    </row>
    <row r="47" spans="2:11" x14ac:dyDescent="0.35">
      <c r="B47" s="7" t="s">
        <v>46</v>
      </c>
      <c r="C47" s="7"/>
      <c r="D47" s="36">
        <f>SUM(D41:D46)</f>
        <v>46104</v>
      </c>
      <c r="E47" s="36">
        <f t="shared" ref="E47:K47" si="16">SUM(E41:E46)</f>
        <v>53001</v>
      </c>
      <c r="F47" s="36">
        <f t="shared" si="16"/>
        <v>60914</v>
      </c>
      <c r="G47" s="36">
        <f t="shared" si="16"/>
        <v>61944.184634046818</v>
      </c>
      <c r="H47" s="36">
        <f t="shared" si="16"/>
        <v>65219.951503992605</v>
      </c>
      <c r="I47" s="36">
        <f t="shared" si="16"/>
        <v>69017.146594315607</v>
      </c>
      <c r="J47" s="36">
        <f t="shared" si="16"/>
        <v>73219.95744081946</v>
      </c>
      <c r="K47" s="36">
        <f t="shared" si="16"/>
        <v>77867.643832504313</v>
      </c>
    </row>
    <row r="48" spans="2:11" ht="6" customHeight="1" x14ac:dyDescent="0.35">
      <c r="D48" s="34"/>
      <c r="E48" s="34"/>
      <c r="F48" s="34"/>
      <c r="G48" s="34"/>
      <c r="H48" s="34"/>
      <c r="I48" s="34"/>
      <c r="J48" s="34"/>
      <c r="K48" s="34"/>
    </row>
    <row r="49" spans="2:11" x14ac:dyDescent="0.35">
      <c r="B49" s="31" t="s">
        <v>47</v>
      </c>
      <c r="C49" s="31"/>
      <c r="D49" s="38">
        <f>SUM(D33,D38,D47)</f>
        <v>146449</v>
      </c>
      <c r="E49" s="38">
        <f>SUM(E33,E38,E47)</f>
        <v>159629</v>
      </c>
      <c r="F49" s="38">
        <f>SUM(F33,F38,F47)</f>
        <v>182372</v>
      </c>
      <c r="G49" s="38">
        <f t="shared" ref="G49:K49" si="17">SUM(G33,G38,G47)</f>
        <v>194018.31506893679</v>
      </c>
      <c r="H49" s="38">
        <f t="shared" si="17"/>
        <v>205224.69572904389</v>
      </c>
      <c r="I49" s="38">
        <f t="shared" si="17"/>
        <v>217943.41015843797</v>
      </c>
      <c r="J49" s="38">
        <f t="shared" si="17"/>
        <v>228829.2580205549</v>
      </c>
      <c r="K49" s="38">
        <f t="shared" si="17"/>
        <v>240977.28827604782</v>
      </c>
    </row>
    <row r="51" spans="2:11" x14ac:dyDescent="0.35">
      <c r="D51" t="b">
        <f>(D25-D49)=0</f>
        <v>1</v>
      </c>
      <c r="E51" t="b">
        <f t="shared" ref="E51:F51" si="18">(E25-E49)=0</f>
        <v>1</v>
      </c>
      <c r="F51" t="b">
        <f t="shared" si="18"/>
        <v>1</v>
      </c>
      <c r="G51" t="b">
        <f>G25=G49</f>
        <v>1</v>
      </c>
      <c r="H51" t="b">
        <f t="shared" ref="H51:K51" si="19">H25=H49</f>
        <v>1</v>
      </c>
      <c r="I51" t="b">
        <f t="shared" si="19"/>
        <v>1</v>
      </c>
      <c r="J51" t="b">
        <f t="shared" si="19"/>
        <v>1</v>
      </c>
      <c r="K51" t="b">
        <f t="shared" si="19"/>
        <v>1</v>
      </c>
    </row>
    <row r="52" spans="2:11" x14ac:dyDescent="0.35">
      <c r="B52" s="7"/>
      <c r="C52" s="7"/>
    </row>
    <row r="54" spans="2:11" x14ac:dyDescent="0.35">
      <c r="D54" s="34"/>
      <c r="E54" s="34"/>
      <c r="F54" s="34"/>
      <c r="G54" s="34"/>
      <c r="H54" s="34"/>
      <c r="I54" s="34"/>
      <c r="J54" s="34"/>
      <c r="K54" s="34"/>
    </row>
    <row r="55" spans="2:11" x14ac:dyDescent="0.35">
      <c r="D55" s="34"/>
      <c r="E55" s="34"/>
      <c r="F55" s="34"/>
      <c r="G55" s="34"/>
      <c r="H55" s="34"/>
      <c r="I55" s="34"/>
      <c r="J55" s="34"/>
      <c r="K55" s="34"/>
    </row>
  </sheetData>
  <mergeCells count="2">
    <mergeCell ref="B1:K1"/>
    <mergeCell ref="B2:K2"/>
  </mergeCells>
  <phoneticPr fontId="6" type="noConversion"/>
  <conditionalFormatting sqref="D51:K51">
    <cfRule type="cellIs" dxfId="1" priority="1" operator="equal">
      <formula>FALSE</formula>
    </cfRule>
    <cfRule type="cellIs" dxfId="0" priority="2" operator="equal">
      <formula>TRUE</formula>
    </cfRule>
  </conditionalFormatting>
  <pageMargins left="0.25" right="0.25" top="0.75" bottom="0.75" header="0.3" footer="0.3"/>
  <pageSetup paperSize="9" scale="41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L50"/>
  <sheetViews>
    <sheetView showGridLines="0" zoomScale="78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9" sqref="D9"/>
    </sheetView>
  </sheetViews>
  <sheetFormatPr defaultColWidth="8.54296875" defaultRowHeight="14.5" x14ac:dyDescent="0.35"/>
  <cols>
    <col min="1" max="1" width="1.81640625" customWidth="1"/>
    <col min="2" max="2" width="52.7265625" customWidth="1"/>
    <col min="3" max="5" width="16" customWidth="1"/>
    <col min="6" max="11" width="14.6328125" customWidth="1"/>
  </cols>
  <sheetData>
    <row r="1" spans="2:11" ht="21.75" customHeight="1" x14ac:dyDescent="0.35">
      <c r="B1" s="118" t="s">
        <v>44</v>
      </c>
      <c r="C1" s="118"/>
      <c r="D1" s="118"/>
      <c r="E1" s="118"/>
      <c r="F1" s="118"/>
      <c r="G1" s="118"/>
      <c r="H1" s="118"/>
      <c r="I1" s="118"/>
      <c r="J1" s="118"/>
      <c r="K1" s="118"/>
    </row>
    <row r="2" spans="2:11" x14ac:dyDescent="0.35">
      <c r="B2" s="120" t="s">
        <v>13</v>
      </c>
      <c r="C2" s="120"/>
      <c r="D2" s="120"/>
      <c r="E2" s="120"/>
      <c r="F2" s="120"/>
      <c r="G2" s="120"/>
      <c r="H2" s="120"/>
      <c r="I2" s="120"/>
      <c r="J2" s="120"/>
      <c r="K2" s="120"/>
    </row>
    <row r="3" spans="2:11" x14ac:dyDescent="0.35">
      <c r="B3" s="10" t="s">
        <v>1</v>
      </c>
      <c r="C3" s="10"/>
      <c r="D3" s="9">
        <v>45382</v>
      </c>
      <c r="E3" s="9">
        <v>45747</v>
      </c>
      <c r="F3" s="9">
        <v>46112</v>
      </c>
      <c r="G3" s="16">
        <v>46477</v>
      </c>
      <c r="H3" s="16">
        <v>46843</v>
      </c>
      <c r="I3" s="16">
        <v>47208</v>
      </c>
      <c r="J3" s="16">
        <v>47573</v>
      </c>
      <c r="K3" s="16">
        <v>47938</v>
      </c>
    </row>
    <row r="4" spans="2:11" ht="11.5" customHeight="1" x14ac:dyDescent="0.35">
      <c r="B4" s="77" t="s">
        <v>131</v>
      </c>
    </row>
    <row r="5" spans="2:11" ht="15.75" customHeight="1" x14ac:dyDescent="0.35">
      <c r="B5" s="76" t="s">
        <v>120</v>
      </c>
      <c r="G5" s="34">
        <f>'P&amp;L'!G32</f>
        <v>58978.502416055169</v>
      </c>
      <c r="H5" s="34">
        <f>'P&amp;L'!H32</f>
        <v>66088.448251344322</v>
      </c>
      <c r="I5" s="34">
        <f>'P&amp;L'!I32</f>
        <v>74345.994492259037</v>
      </c>
      <c r="J5" s="34">
        <f>'P&amp;L'!J32</f>
        <v>83537.962695163791</v>
      </c>
      <c r="K5" s="34">
        <f>'P&amp;L'!K32</f>
        <v>93754.29829760085</v>
      </c>
    </row>
    <row r="6" spans="2:11" x14ac:dyDescent="0.35">
      <c r="B6" s="76" t="s">
        <v>121</v>
      </c>
      <c r="G6" s="34">
        <f>Assumptions!G29</f>
        <v>4640.6009741944381</v>
      </c>
      <c r="H6" s="34">
        <f>Assumptions!H29</f>
        <v>4537.4384076634806</v>
      </c>
      <c r="I6" s="34">
        <f>Assumptions!I29</f>
        <v>4428.9418263457392</v>
      </c>
      <c r="J6" s="34">
        <f>Assumptions!J29</f>
        <v>4308.7483525952593</v>
      </c>
      <c r="K6" s="34">
        <f>Assumptions!K29</f>
        <v>4194.0955615020066</v>
      </c>
    </row>
    <row r="7" spans="2:11" x14ac:dyDescent="0.35">
      <c r="B7" s="76" t="s">
        <v>122</v>
      </c>
      <c r="G7" s="34">
        <f>-'P&amp;L'!G22</f>
        <v>1227</v>
      </c>
      <c r="H7" s="34">
        <f>-'P&amp;L'!H22</f>
        <v>1227</v>
      </c>
      <c r="I7" s="34">
        <f>-'P&amp;L'!I22</f>
        <v>1227</v>
      </c>
      <c r="J7" s="34">
        <f>-'P&amp;L'!J22</f>
        <v>1227</v>
      </c>
      <c r="K7" s="34">
        <f>-'P&amp;L'!K22</f>
        <v>1227</v>
      </c>
    </row>
    <row r="8" spans="2:11" x14ac:dyDescent="0.35">
      <c r="B8" s="76" t="s">
        <v>135</v>
      </c>
      <c r="F8" cm="1">
        <f t="array" aca="1" ref="F8" ca="1">'Balance Sheet'!F+F8</f>
        <v>0</v>
      </c>
      <c r="G8" s="34">
        <f>'P&amp;L'!G30</f>
        <v>19948.07438589193</v>
      </c>
      <c r="H8" s="34">
        <f>'P&amp;L'!H30</f>
        <v>22352.844303606929</v>
      </c>
      <c r="I8" s="34">
        <f>'P&amp;L'!I30</f>
        <v>25145.762738474954</v>
      </c>
      <c r="J8" s="34">
        <f>'P&amp;L'!J30</f>
        <v>28254.72715691333</v>
      </c>
      <c r="K8" s="34">
        <f>'P&amp;L'!K30</f>
        <v>31710.159461908126</v>
      </c>
    </row>
    <row r="9" spans="2:11" x14ac:dyDescent="0.35">
      <c r="B9" s="76" t="s">
        <v>136</v>
      </c>
      <c r="G9" s="34">
        <f>-'P&amp;L'!G21</f>
        <v>-4871.9800663420319</v>
      </c>
      <c r="H9" s="34">
        <f>-'P&amp;L'!H21</f>
        <v>-5321.6614954219613</v>
      </c>
      <c r="I9" s="34">
        <f>-'P&amp;L'!I21</f>
        <v>-5841.4830259672999</v>
      </c>
      <c r="J9" s="34">
        <f>-'P&amp;L'!J21</f>
        <v>-6412.0808833893016</v>
      </c>
      <c r="K9" s="34">
        <f>-'P&amp;L'!K21</f>
        <v>-7038.4149149039558</v>
      </c>
    </row>
    <row r="10" spans="2:11" x14ac:dyDescent="0.35">
      <c r="B10" s="77" t="s">
        <v>123</v>
      </c>
      <c r="G10" s="34"/>
      <c r="H10" s="34"/>
      <c r="I10" s="34"/>
      <c r="J10" s="34"/>
      <c r="K10" s="34"/>
    </row>
    <row r="11" spans="2:11" x14ac:dyDescent="0.35">
      <c r="B11" s="78" t="s">
        <v>137</v>
      </c>
      <c r="G11" s="34">
        <f>'Balance Sheet'!G42-'Balance Sheet'!F42</f>
        <v>-231.85540356141428</v>
      </c>
      <c r="H11" s="34">
        <f>'Balance Sheet'!H42-'Balance Sheet'!G42</f>
        <v>1345.3711721615309</v>
      </c>
      <c r="I11" s="34">
        <f>'Balance Sheet'!I42-'Balance Sheet'!H42</f>
        <v>1555.2185539338261</v>
      </c>
      <c r="J11" s="34">
        <f>'Balance Sheet'!J42-'Balance Sheet'!I42</f>
        <v>1707.1327802960004</v>
      </c>
      <c r="K11" s="34">
        <f>'Balance Sheet'!K42-'Balance Sheet'!J42</f>
        <v>1873.8860349817733</v>
      </c>
    </row>
    <row r="12" spans="2:11" x14ac:dyDescent="0.35">
      <c r="B12" s="78" t="s">
        <v>139</v>
      </c>
      <c r="G12" s="34">
        <f>'Balance Sheet'!G44-'Balance Sheet'!F44</f>
        <v>0</v>
      </c>
      <c r="H12" s="34">
        <f>'Balance Sheet'!H44-'Balance Sheet'!G44</f>
        <v>0</v>
      </c>
      <c r="I12" s="34">
        <f>'Balance Sheet'!I44-'Balance Sheet'!H44</f>
        <v>0</v>
      </c>
      <c r="J12" s="34">
        <f>'Balance Sheet'!J44-'Balance Sheet'!I44</f>
        <v>0</v>
      </c>
      <c r="K12" s="34">
        <f>'Balance Sheet'!K44-'Balance Sheet'!J44</f>
        <v>0</v>
      </c>
    </row>
    <row r="13" spans="2:11" x14ac:dyDescent="0.35">
      <c r="B13" s="78" t="s">
        <v>138</v>
      </c>
      <c r="G13" s="34">
        <f>'Balance Sheet'!F19-'Balance Sheet'!G19</f>
        <v>-708.68108682794264</v>
      </c>
      <c r="H13" s="34">
        <f>'Balance Sheet'!G19-'Balance Sheet'!H19</f>
        <v>-6315.3807268563978</v>
      </c>
      <c r="I13" s="34">
        <f>'Balance Sheet'!H19-'Balance Sheet'!I19</f>
        <v>-7300.4368495446834</v>
      </c>
      <c r="J13" s="34">
        <f>'Balance Sheet'!I19-'Balance Sheet'!J19</f>
        <v>-8013.5457648795855</v>
      </c>
      <c r="K13" s="34">
        <f>'Balance Sheet'!J19-'Balance Sheet'!K19</f>
        <v>-8796.3113782464934</v>
      </c>
    </row>
    <row r="14" spans="2:11" x14ac:dyDescent="0.35">
      <c r="B14" s="78" t="s">
        <v>56</v>
      </c>
      <c r="G14" s="34">
        <f>'Balance Sheet'!F17-'Balance Sheet'!G17</f>
        <v>0</v>
      </c>
      <c r="H14" s="34">
        <f>'Balance Sheet'!G17-'Balance Sheet'!H17</f>
        <v>0</v>
      </c>
      <c r="I14" s="34">
        <f>'Balance Sheet'!H17-'Balance Sheet'!I17</f>
        <v>0</v>
      </c>
      <c r="J14" s="34">
        <f>'Balance Sheet'!I17-'Balance Sheet'!J17</f>
        <v>0</v>
      </c>
      <c r="K14" s="34">
        <f>'Balance Sheet'!J17-'Balance Sheet'!K17</f>
        <v>0</v>
      </c>
    </row>
    <row r="15" spans="2:11" x14ac:dyDescent="0.35">
      <c r="B15" s="78" t="s">
        <v>140</v>
      </c>
      <c r="G15" s="34">
        <f>'Balance Sheet'!F22-'Balance Sheet'!G22</f>
        <v>0</v>
      </c>
      <c r="H15" s="34">
        <f>'Balance Sheet'!G22-'Balance Sheet'!H22</f>
        <v>0</v>
      </c>
      <c r="I15" s="34">
        <f>'Balance Sheet'!H22-'Balance Sheet'!I22</f>
        <v>0</v>
      </c>
      <c r="J15" s="34">
        <f>'Balance Sheet'!I22-'Balance Sheet'!J22</f>
        <v>0</v>
      </c>
      <c r="K15" s="34">
        <f>'Balance Sheet'!J22-'Balance Sheet'!K22</f>
        <v>0</v>
      </c>
    </row>
    <row r="16" spans="2:11" x14ac:dyDescent="0.35">
      <c r="B16" s="97" t="s">
        <v>124</v>
      </c>
      <c r="C16" s="91"/>
      <c r="D16" s="91"/>
      <c r="E16" s="91"/>
      <c r="F16" s="91"/>
      <c r="G16" s="92">
        <f>SUM(G11:G15)</f>
        <v>-940.53649038935691</v>
      </c>
      <c r="H16" s="92">
        <f>SUM(H11:H15)</f>
        <v>-4970.0095546948669</v>
      </c>
      <c r="I16" s="92">
        <f>SUM(I11:I15)</f>
        <v>-5745.2182956108572</v>
      </c>
      <c r="J16" s="92">
        <f>SUM(J11:J15)</f>
        <v>-6306.4129845835851</v>
      </c>
      <c r="K16" s="92">
        <f>SUM(K11:K15)</f>
        <v>-6922.4253432647201</v>
      </c>
    </row>
    <row r="17" spans="2:12" x14ac:dyDescent="0.35">
      <c r="B17" s="79" t="s">
        <v>149</v>
      </c>
      <c r="G17" s="34">
        <f>-G50</f>
        <v>-18686.034348283702</v>
      </c>
      <c r="H17" s="34">
        <f t="shared" ref="H17:K17" si="0">-H50</f>
        <v>-20422.448605822676</v>
      </c>
      <c r="I17" s="34">
        <f t="shared" si="0"/>
        <v>-22903.786202085768</v>
      </c>
      <c r="J17" s="34">
        <f t="shared" si="0"/>
        <v>-25759.049090705477</v>
      </c>
      <c r="K17" s="34">
        <f t="shared" si="0"/>
        <v>-28936.359105205051</v>
      </c>
      <c r="L17" s="34"/>
    </row>
    <row r="18" spans="2:12" x14ac:dyDescent="0.35">
      <c r="B18" s="79"/>
      <c r="G18" s="34"/>
      <c r="H18" s="34"/>
      <c r="I18" s="34"/>
      <c r="J18" s="34"/>
      <c r="K18" s="34"/>
    </row>
    <row r="19" spans="2:12" ht="6" customHeight="1" x14ac:dyDescent="0.35">
      <c r="B19" s="76"/>
      <c r="G19" s="34"/>
      <c r="H19" s="34"/>
      <c r="I19" s="34"/>
      <c r="J19" s="34"/>
      <c r="K19" s="34"/>
    </row>
    <row r="20" spans="2:12" ht="15.75" customHeight="1" x14ac:dyDescent="0.35">
      <c r="B20" s="95" t="s">
        <v>125</v>
      </c>
      <c r="C20" s="18"/>
      <c r="D20" s="18"/>
      <c r="E20" s="18"/>
      <c r="F20" s="18"/>
      <c r="G20" s="62">
        <f>SUM(G5:G9,G16,G17)</f>
        <v>60295.626871126427</v>
      </c>
      <c r="H20" s="62">
        <f>SUM(H5:H9,H16,H17)</f>
        <v>63491.61130667523</v>
      </c>
      <c r="I20" s="62">
        <f>SUM(I5:I9,I16,I17)</f>
        <v>70657.211533415786</v>
      </c>
      <c r="J20" s="62">
        <f>SUM(J5:J9,J16,J17)</f>
        <v>78850.895245994019</v>
      </c>
      <c r="K20" s="62">
        <f>SUM(K5:K9,K16,K17)</f>
        <v>87988.353957637257</v>
      </c>
    </row>
    <row r="21" spans="2:12" x14ac:dyDescent="0.35">
      <c r="B21" s="76"/>
      <c r="G21" s="34"/>
      <c r="H21" s="34"/>
      <c r="I21" s="34"/>
      <c r="J21" s="34"/>
      <c r="K21" s="34"/>
    </row>
    <row r="22" spans="2:12" x14ac:dyDescent="0.35">
      <c r="B22" s="76" t="s">
        <v>157</v>
      </c>
      <c r="G22" s="34">
        <f>'Balance Sheet'!F21-'Balance Sheet'!G21</f>
        <v>-273.75300330834489</v>
      </c>
      <c r="H22" s="34">
        <f>'Balance Sheet'!G21-'Balance Sheet'!H21</f>
        <v>-624.38346554738928</v>
      </c>
      <c r="I22" s="34">
        <f>'Balance Sheet'!H21-'Balance Sheet'!I21</f>
        <v>-721.77312141203947</v>
      </c>
      <c r="J22" s="34">
        <f>'Balance Sheet'!I21-'Balance Sheet'!J21</f>
        <v>-792.27614175665531</v>
      </c>
      <c r="K22" s="34">
        <f>'Balance Sheet'!J21-'Balance Sheet'!K21</f>
        <v>-869.66591879842963</v>
      </c>
    </row>
    <row r="23" spans="2:12" x14ac:dyDescent="0.35">
      <c r="B23" s="76" t="s">
        <v>141</v>
      </c>
      <c r="G23" s="34">
        <f>'Balance Sheet'!F18-'Balance Sheet'!G18</f>
        <v>-2736.1449331286349</v>
      </c>
      <c r="H23" s="34">
        <f>'Balance Sheet'!G18-'Balance Sheet'!H18</f>
        <v>-3369.4997106287046</v>
      </c>
      <c r="I23" s="34">
        <f>'Balance Sheet'!H18-'Balance Sheet'!I18</f>
        <v>-3895.0652250301428</v>
      </c>
      <c r="J23" s="34">
        <f>'Balance Sheet'!I18-'Balance Sheet'!J18</f>
        <v>-4275.5363934031993</v>
      </c>
      <c r="K23" s="34">
        <f>'Balance Sheet'!J18-'Balance Sheet'!K18</f>
        <v>-4693.1721024450308</v>
      </c>
    </row>
    <row r="24" spans="2:12" x14ac:dyDescent="0.35">
      <c r="B24" s="76" t="s">
        <v>126</v>
      </c>
      <c r="G24" s="34">
        <f>-'Asset schedule'!G6</f>
        <v>-2806.879074664047</v>
      </c>
      <c r="H24" s="34">
        <f>-'Asset schedule'!H6</f>
        <v>-3037.276966281569</v>
      </c>
      <c r="I24" s="34">
        <f>-'Asset schedule'!I6</f>
        <v>-3301.7730615334353</v>
      </c>
      <c r="J24" s="34">
        <f>-'Asset schedule'!J6</f>
        <v>-3605.8112143833414</v>
      </c>
      <c r="K24" s="34">
        <f>-'Asset schedule'!K6</f>
        <v>-3955.8752591462844</v>
      </c>
    </row>
    <row r="25" spans="2:12" x14ac:dyDescent="0.35">
      <c r="B25" s="76" t="s">
        <v>127</v>
      </c>
      <c r="G25" s="34">
        <f>-'Asset schedule'!G7</f>
        <v>935.55569273606591</v>
      </c>
      <c r="H25" s="34">
        <f>-'Asset schedule'!H7</f>
        <v>980.20798928046565</v>
      </c>
      <c r="I25" s="34">
        <f>-'Asset schedule'!I7</f>
        <v>1029.2924259205427</v>
      </c>
      <c r="J25" s="34">
        <f>-'Asset schedule'!J7</f>
        <v>1083.516874892184</v>
      </c>
      <c r="K25" s="34">
        <f>-'Asset schedule'!K7</f>
        <v>1143.702215334617</v>
      </c>
    </row>
    <row r="26" spans="2:12" x14ac:dyDescent="0.35">
      <c r="B26" s="78" t="s">
        <v>128</v>
      </c>
      <c r="G26" s="34">
        <f>'Balance Sheet'!F7-'Balance Sheet'!G7</f>
        <v>501.82900942920833</v>
      </c>
      <c r="H26" s="34">
        <f>'Balance Sheet'!G7-'Balance Sheet'!H7</f>
        <v>-103.24404340347428</v>
      </c>
      <c r="I26" s="34">
        <f>'Balance Sheet'!H7-'Balance Sheet'!I7</f>
        <v>-113.49193880462963</v>
      </c>
      <c r="J26" s="34">
        <f>'Balance Sheet'!I7-'Balance Sheet'!J7</f>
        <v>-125.37656058946368</v>
      </c>
      <c r="K26" s="34">
        <f>'Balance Sheet'!J7-'Balance Sheet'!K7</f>
        <v>-139.15920079749503</v>
      </c>
    </row>
    <row r="27" spans="2:12" x14ac:dyDescent="0.35">
      <c r="B27" s="90" t="s">
        <v>129</v>
      </c>
      <c r="C27" s="91"/>
      <c r="D27" s="91"/>
      <c r="E27" s="91"/>
      <c r="F27" s="91"/>
      <c r="G27" s="92">
        <f>SUM(G22:G26)</f>
        <v>-4379.3923089357522</v>
      </c>
      <c r="H27" s="92">
        <f t="shared" ref="H27:K27" si="1">SUM(H22:H26)</f>
        <v>-6154.1961965806713</v>
      </c>
      <c r="I27" s="92">
        <f t="shared" si="1"/>
        <v>-7002.8109208597034</v>
      </c>
      <c r="J27" s="92">
        <f t="shared" si="1"/>
        <v>-7715.483435240476</v>
      </c>
      <c r="K27" s="92">
        <f t="shared" si="1"/>
        <v>-8514.1702658526228</v>
      </c>
    </row>
    <row r="28" spans="2:12" x14ac:dyDescent="0.35">
      <c r="B28" s="76" t="s">
        <v>155</v>
      </c>
      <c r="G28" s="34">
        <v>-200</v>
      </c>
      <c r="H28" s="34">
        <v>-200</v>
      </c>
      <c r="I28" s="34">
        <v>-200</v>
      </c>
      <c r="J28" s="34">
        <v>-200</v>
      </c>
      <c r="K28" s="34">
        <v>-200</v>
      </c>
    </row>
    <row r="29" spans="2:12" x14ac:dyDescent="0.35">
      <c r="B29" s="76" t="s">
        <v>156</v>
      </c>
      <c r="G29" s="34">
        <f>-'Asset schedule'!G22</f>
        <v>-1866</v>
      </c>
      <c r="H29" s="34">
        <f>-'Asset schedule'!H22</f>
        <v>-1866</v>
      </c>
      <c r="I29" s="34">
        <f>-'Asset schedule'!I22</f>
        <v>-1866</v>
      </c>
      <c r="J29" s="34">
        <f>-'Asset schedule'!J22</f>
        <v>-1866</v>
      </c>
      <c r="K29" s="34">
        <f>-'Asset schedule'!K22</f>
        <v>-1866</v>
      </c>
    </row>
    <row r="30" spans="2:12" x14ac:dyDescent="0.35">
      <c r="B30" s="76" t="s">
        <v>153</v>
      </c>
      <c r="G30" s="34">
        <f>'P&amp;L'!G21</f>
        <v>4871.9800663420319</v>
      </c>
      <c r="H30" s="34">
        <f>'P&amp;L'!H21</f>
        <v>5321.6614954219613</v>
      </c>
      <c r="I30" s="34">
        <f>'P&amp;L'!I21</f>
        <v>5841.4830259672999</v>
      </c>
      <c r="J30" s="34">
        <f>'P&amp;L'!J21</f>
        <v>6412.0808833893016</v>
      </c>
      <c r="K30" s="34">
        <f>'P&amp;L'!K21</f>
        <v>7038.4149149039558</v>
      </c>
    </row>
    <row r="31" spans="2:12" x14ac:dyDescent="0.35">
      <c r="B31" s="76" t="s">
        <v>147</v>
      </c>
      <c r="G31" s="34">
        <f>'Equity Schedule'!G7</f>
        <v>-48362.371981165234</v>
      </c>
      <c r="H31" s="34">
        <f>'Equity Schedule'!H7</f>
        <v>-58157.834461183003</v>
      </c>
      <c r="I31" s="34">
        <f>'Equity Schedule'!I7</f>
        <v>-65424.475153187952</v>
      </c>
      <c r="J31" s="34">
        <f>'Equity Schedule'!J7</f>
        <v>-76854.925679550695</v>
      </c>
      <c r="K31" s="34">
        <f>'Equity Schedule'!K7</f>
        <v>-86253.95443379278</v>
      </c>
    </row>
    <row r="32" spans="2:12" x14ac:dyDescent="0.35">
      <c r="B32" s="76" t="s">
        <v>148</v>
      </c>
      <c r="G32" s="34">
        <f>'P&amp;L'!G22</f>
        <v>-1227</v>
      </c>
      <c r="H32" s="34">
        <f>'P&amp;L'!H22</f>
        <v>-1227</v>
      </c>
      <c r="I32" s="34">
        <f>'P&amp;L'!I22</f>
        <v>-1227</v>
      </c>
      <c r="J32" s="34">
        <f>'P&amp;L'!J22</f>
        <v>-1227</v>
      </c>
      <c r="K32" s="34">
        <f>'P&amp;L'!K22</f>
        <v>-1227</v>
      </c>
    </row>
    <row r="33" spans="2:11" x14ac:dyDescent="0.35">
      <c r="B33" s="90" t="s">
        <v>130</v>
      </c>
      <c r="C33" s="91"/>
      <c r="D33" s="91"/>
      <c r="E33" s="91"/>
      <c r="F33" s="91"/>
      <c r="G33" s="92">
        <f>SUM(G28:G32)</f>
        <v>-46783.391914823202</v>
      </c>
      <c r="H33" s="92">
        <f t="shared" ref="H33:K33" si="2">SUM(H28:H32)</f>
        <v>-56129.172965761041</v>
      </c>
      <c r="I33" s="92">
        <f t="shared" si="2"/>
        <v>-62875.992127220656</v>
      </c>
      <c r="J33" s="92">
        <f t="shared" si="2"/>
        <v>-73735.8447961614</v>
      </c>
      <c r="K33" s="92">
        <f t="shared" si="2"/>
        <v>-82508.539518888821</v>
      </c>
    </row>
    <row r="35" spans="2:11" ht="6" customHeight="1" x14ac:dyDescent="0.35"/>
    <row r="36" spans="2:11" x14ac:dyDescent="0.35">
      <c r="B36" s="95" t="s">
        <v>142</v>
      </c>
      <c r="C36" s="96"/>
      <c r="D36" s="96"/>
      <c r="E36" s="96"/>
      <c r="F36" s="96"/>
      <c r="G36" s="66">
        <f>SUM(G20,G27,G33)</f>
        <v>9132.8426473674699</v>
      </c>
      <c r="H36" s="66">
        <f>SUM(H20,H27,H33)</f>
        <v>1208.2421443335188</v>
      </c>
      <c r="I36" s="66">
        <f>SUM(I20,I27,I33)</f>
        <v>778.40848533542885</v>
      </c>
      <c r="J36" s="66">
        <f>SUM(J20,J27,J33)</f>
        <v>-2600.4329854078533</v>
      </c>
      <c r="K36" s="66">
        <f>SUM(K20,K27,K33)</f>
        <v>-3034.3558271041838</v>
      </c>
    </row>
    <row r="37" spans="2:11" x14ac:dyDescent="0.35">
      <c r="B37" s="83"/>
      <c r="C37" s="76"/>
      <c r="D37" s="84"/>
      <c r="E37" s="84"/>
      <c r="F37" s="84"/>
      <c r="G37" s="82"/>
    </row>
    <row r="38" spans="2:11" x14ac:dyDescent="0.35">
      <c r="B38" s="86" t="s">
        <v>143</v>
      </c>
      <c r="C38" s="76"/>
      <c r="D38" s="84"/>
      <c r="E38" s="84"/>
      <c r="F38" s="84"/>
    </row>
    <row r="39" spans="2:11" x14ac:dyDescent="0.35">
      <c r="B39" s="87" t="s">
        <v>144</v>
      </c>
      <c r="C39" s="76"/>
      <c r="D39" s="80"/>
      <c r="E39" s="80"/>
      <c r="F39" s="80"/>
      <c r="G39" s="34">
        <f>F41</f>
        <v>6417</v>
      </c>
      <c r="H39" s="34">
        <f t="shared" ref="H39:K39" si="3">G41</f>
        <v>15549.84264736747</v>
      </c>
      <c r="I39" s="34">
        <f t="shared" si="3"/>
        <v>16758.084791700989</v>
      </c>
      <c r="J39" s="34">
        <f t="shared" si="3"/>
        <v>17536.493277036418</v>
      </c>
      <c r="K39" s="34">
        <f t="shared" si="3"/>
        <v>14936.060291628564</v>
      </c>
    </row>
    <row r="40" spans="2:11" ht="15.5" customHeight="1" x14ac:dyDescent="0.35">
      <c r="B40" s="76" t="s">
        <v>145</v>
      </c>
      <c r="C40" s="76"/>
      <c r="D40" s="76"/>
      <c r="E40" s="76"/>
      <c r="G40" s="34">
        <f>G36</f>
        <v>9132.8426473674699</v>
      </c>
      <c r="H40" s="34">
        <f t="shared" ref="H40:K40" si="4">H36</f>
        <v>1208.2421443335188</v>
      </c>
      <c r="I40" s="34">
        <f t="shared" si="4"/>
        <v>778.40848533542885</v>
      </c>
      <c r="J40" s="34">
        <f t="shared" si="4"/>
        <v>-2600.4329854078533</v>
      </c>
      <c r="K40" s="34">
        <f t="shared" si="4"/>
        <v>-3034.3558271041838</v>
      </c>
    </row>
    <row r="41" spans="2:11" ht="15.75" customHeight="1" x14ac:dyDescent="0.35">
      <c r="B41" s="93" t="s">
        <v>146</v>
      </c>
      <c r="C41" s="94"/>
      <c r="D41" s="94"/>
      <c r="E41" s="94"/>
      <c r="F41" s="35">
        <v>6417</v>
      </c>
      <c r="G41" s="35">
        <f>SUM(G39:G40)</f>
        <v>15549.84264736747</v>
      </c>
      <c r="H41" s="35">
        <f t="shared" ref="H41:K41" si="5">SUM(H39:H40)</f>
        <v>16758.084791700989</v>
      </c>
      <c r="I41" s="35">
        <f t="shared" si="5"/>
        <v>17536.493277036418</v>
      </c>
      <c r="J41" s="35">
        <f t="shared" si="5"/>
        <v>14936.060291628564</v>
      </c>
      <c r="K41" s="35">
        <f t="shared" si="5"/>
        <v>11901.70446452438</v>
      </c>
    </row>
    <row r="42" spans="2:11" x14ac:dyDescent="0.35">
      <c r="B42" s="83"/>
      <c r="C42" s="76"/>
      <c r="D42" s="84"/>
      <c r="E42" s="84"/>
      <c r="F42" s="84"/>
    </row>
    <row r="43" spans="2:11" x14ac:dyDescent="0.35">
      <c r="B43" s="83"/>
      <c r="C43" s="76"/>
      <c r="D43" s="84"/>
      <c r="E43" s="84"/>
      <c r="F43" s="84"/>
    </row>
    <row r="44" spans="2:11" x14ac:dyDescent="0.35">
      <c r="B44" s="81"/>
      <c r="C44" s="76"/>
      <c r="D44" s="80"/>
      <c r="E44" s="80"/>
      <c r="F44" s="80"/>
    </row>
    <row r="45" spans="2:11" x14ac:dyDescent="0.35">
      <c r="B45" s="83"/>
      <c r="C45" s="76"/>
      <c r="D45" s="85"/>
      <c r="E45" s="85"/>
      <c r="F45" s="85"/>
    </row>
    <row r="46" spans="2:11" x14ac:dyDescent="0.35">
      <c r="B46" s="54" t="s">
        <v>149</v>
      </c>
      <c r="C46" s="53"/>
      <c r="D46" s="53"/>
      <c r="E46" s="53"/>
      <c r="F46" s="53"/>
      <c r="G46" s="53"/>
      <c r="H46" s="53"/>
      <c r="I46" s="53"/>
      <c r="J46" s="53"/>
      <c r="K46" s="53"/>
    </row>
    <row r="47" spans="2:11" x14ac:dyDescent="0.35">
      <c r="B47" t="s">
        <v>150</v>
      </c>
      <c r="G47" s="34">
        <f>'Balance Sheet'!F45</f>
        <v>14751</v>
      </c>
      <c r="H47" s="34">
        <f>'Balance Sheet'!G45</f>
        <v>16013.040037608229</v>
      </c>
      <c r="I47" s="34">
        <f>'Balance Sheet'!H45</f>
        <v>17943.435735392486</v>
      </c>
      <c r="J47" s="34">
        <f>'Balance Sheet'!I45</f>
        <v>20185.412271781668</v>
      </c>
      <c r="K47" s="34">
        <f>'Balance Sheet'!J45</f>
        <v>22681.090337989517</v>
      </c>
    </row>
    <row r="48" spans="2:11" x14ac:dyDescent="0.35">
      <c r="B48" t="s">
        <v>151</v>
      </c>
      <c r="G48" s="34">
        <f>'P&amp;L'!G30</f>
        <v>19948.07438589193</v>
      </c>
      <c r="H48" s="34">
        <f>'P&amp;L'!H30</f>
        <v>22352.844303606929</v>
      </c>
      <c r="I48" s="34">
        <f>'P&amp;L'!I30</f>
        <v>25145.762738474954</v>
      </c>
      <c r="J48" s="34">
        <f>'P&amp;L'!J30</f>
        <v>28254.72715691333</v>
      </c>
      <c r="K48" s="34">
        <f>'P&amp;L'!K30</f>
        <v>31710.159461908126</v>
      </c>
    </row>
    <row r="49" spans="2:11" x14ac:dyDescent="0.35">
      <c r="B49" t="s">
        <v>152</v>
      </c>
      <c r="G49" s="34">
        <f>-'Balance Sheet'!G45</f>
        <v>-16013.040037608229</v>
      </c>
      <c r="H49" s="34">
        <f>-'Balance Sheet'!H45</f>
        <v>-17943.435735392486</v>
      </c>
      <c r="I49" s="34">
        <f>-'Balance Sheet'!I45</f>
        <v>-20185.412271781668</v>
      </c>
      <c r="J49" s="34">
        <f>-'Balance Sheet'!J45</f>
        <v>-22681.090337989517</v>
      </c>
      <c r="K49" s="34">
        <f>-'Balance Sheet'!K45</f>
        <v>-25454.890694692596</v>
      </c>
    </row>
    <row r="50" spans="2:11" x14ac:dyDescent="0.35">
      <c r="B50" s="52" t="s">
        <v>149</v>
      </c>
      <c r="C50" s="52"/>
      <c r="D50" s="52"/>
      <c r="E50" s="52"/>
      <c r="F50" s="52"/>
      <c r="G50" s="62">
        <f>SUM(G47:G49)</f>
        <v>18686.034348283702</v>
      </c>
      <c r="H50" s="62">
        <f t="shared" ref="H50:K50" si="6">SUM(H47:H49)</f>
        <v>20422.448605822676</v>
      </c>
      <c r="I50" s="62">
        <f t="shared" si="6"/>
        <v>22903.786202085768</v>
      </c>
      <c r="J50" s="62">
        <f t="shared" si="6"/>
        <v>25759.049090705477</v>
      </c>
      <c r="K50" s="62">
        <f t="shared" si="6"/>
        <v>28936.359105205051</v>
      </c>
    </row>
  </sheetData>
  <mergeCells count="2">
    <mergeCell ref="B1:K1"/>
    <mergeCell ref="B2:K2"/>
  </mergeCells>
  <pageMargins left="0.25" right="0.25" top="0.75" bottom="0.75" header="0.3" footer="0.3"/>
  <pageSetup paperSize="9" scale="5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462A-9A9A-4C2E-89E0-E819ACF1FE50}">
  <sheetPr>
    <pageSetUpPr fitToPage="1"/>
  </sheetPr>
  <dimension ref="B1:K43"/>
  <sheetViews>
    <sheetView showGridLines="0" zoomScale="78" zoomScaleNormal="85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D38" sqref="D38"/>
    </sheetView>
  </sheetViews>
  <sheetFormatPr defaultRowHeight="14.5" x14ac:dyDescent="0.35"/>
  <cols>
    <col min="1" max="1" width="1.81640625" customWidth="1"/>
    <col min="2" max="2" width="28.1796875" customWidth="1"/>
    <col min="3" max="11" width="16" customWidth="1"/>
  </cols>
  <sheetData>
    <row r="1" spans="2:11" x14ac:dyDescent="0.35">
      <c r="B1" s="118" t="s">
        <v>109</v>
      </c>
      <c r="C1" s="118"/>
      <c r="D1" s="118"/>
      <c r="E1" s="118"/>
      <c r="F1" s="118"/>
      <c r="G1" s="118"/>
      <c r="H1" s="118"/>
      <c r="I1" s="118"/>
      <c r="J1" s="118"/>
      <c r="K1" s="118"/>
    </row>
    <row r="2" spans="2:11" x14ac:dyDescent="0.35">
      <c r="B2" s="120" t="s">
        <v>13</v>
      </c>
      <c r="C2" s="120"/>
      <c r="D2" s="120"/>
      <c r="E2" s="120"/>
      <c r="F2" s="120"/>
      <c r="G2" s="120"/>
      <c r="H2" s="120"/>
      <c r="I2" s="120"/>
      <c r="J2" s="120"/>
      <c r="K2" s="120"/>
    </row>
    <row r="3" spans="2:11" x14ac:dyDescent="0.35">
      <c r="B3" s="10" t="s">
        <v>1</v>
      </c>
      <c r="C3" s="9">
        <v>45016</v>
      </c>
      <c r="D3" s="9">
        <v>45382</v>
      </c>
      <c r="E3" s="9">
        <v>45747</v>
      </c>
      <c r="F3" s="9">
        <v>46112</v>
      </c>
      <c r="G3" s="16">
        <v>46477</v>
      </c>
      <c r="H3" s="16">
        <v>46843</v>
      </c>
      <c r="I3" s="16">
        <v>47208</v>
      </c>
      <c r="J3" s="16">
        <v>47573</v>
      </c>
      <c r="K3" s="16">
        <v>47938</v>
      </c>
    </row>
    <row r="4" spans="2:11" x14ac:dyDescent="0.35">
      <c r="B4" s="121" t="s">
        <v>79</v>
      </c>
      <c r="C4" s="121"/>
      <c r="D4" s="121"/>
      <c r="E4" s="121"/>
      <c r="F4" s="121"/>
      <c r="G4" s="121"/>
      <c r="H4" s="121"/>
      <c r="I4" s="121"/>
      <c r="J4" s="121"/>
      <c r="K4" s="121"/>
    </row>
    <row r="5" spans="2:11" x14ac:dyDescent="0.35">
      <c r="B5" t="s">
        <v>77</v>
      </c>
      <c r="C5" s="33">
        <v>30300</v>
      </c>
      <c r="D5" s="50">
        <f>C9</f>
        <v>32344</v>
      </c>
      <c r="E5" s="50">
        <f t="shared" ref="E5:F5" si="0">D9</f>
        <v>33853</v>
      </c>
      <c r="F5" s="50">
        <f t="shared" si="0"/>
        <v>37277</v>
      </c>
      <c r="G5" s="34">
        <f>F9</f>
        <v>39208</v>
      </c>
      <c r="H5" s="34">
        <f t="shared" ref="H5:K5" si="1">G9</f>
        <v>41079.323381927978</v>
      </c>
      <c r="I5" s="34">
        <f t="shared" si="1"/>
        <v>43136.392358929079</v>
      </c>
      <c r="J5" s="34">
        <f t="shared" si="1"/>
        <v>45408.872994541976</v>
      </c>
      <c r="K5" s="34">
        <f t="shared" si="1"/>
        <v>47931.167334033133</v>
      </c>
    </row>
    <row r="6" spans="2:11" x14ac:dyDescent="0.35">
      <c r="B6" t="s">
        <v>74</v>
      </c>
      <c r="C6" s="33">
        <v>2314</v>
      </c>
      <c r="D6" s="33">
        <v>1923</v>
      </c>
      <c r="E6" s="33">
        <v>4306</v>
      </c>
      <c r="F6" s="33">
        <v>2608</v>
      </c>
      <c r="G6" s="34">
        <f>Assumptions!G40</f>
        <v>2806.879074664047</v>
      </c>
      <c r="H6" s="34">
        <f>Assumptions!H40</f>
        <v>3037.276966281569</v>
      </c>
      <c r="I6" s="34">
        <f>Assumptions!I40</f>
        <v>3301.7730615334353</v>
      </c>
      <c r="J6" s="34">
        <f>Assumptions!J40</f>
        <v>3605.8112143833414</v>
      </c>
      <c r="K6" s="34">
        <f>Assumptions!K40</f>
        <v>3955.8752591462844</v>
      </c>
    </row>
    <row r="7" spans="2:11" x14ac:dyDescent="0.35">
      <c r="B7" t="s">
        <v>75</v>
      </c>
      <c r="C7" s="33">
        <v>-458</v>
      </c>
      <c r="D7" s="33">
        <v>-502</v>
      </c>
      <c r="E7" s="33">
        <v>-869</v>
      </c>
      <c r="F7" s="33">
        <v>-1459</v>
      </c>
      <c r="G7" s="34">
        <f>-(G5*Assumptions!G39)</f>
        <v>-935.55569273606591</v>
      </c>
      <c r="H7" s="34">
        <f>-(H5*Assumptions!H39)</f>
        <v>-980.20798928046565</v>
      </c>
      <c r="I7" s="34">
        <f>-(I5*Assumptions!I39)</f>
        <v>-1029.2924259205427</v>
      </c>
      <c r="J7" s="34">
        <f>-(J5*Assumptions!J39)</f>
        <v>-1083.516874892184</v>
      </c>
      <c r="K7" s="34">
        <f>-(K5*Assumptions!K39)</f>
        <v>-1143.702215334617</v>
      </c>
    </row>
    <row r="8" spans="2:11" x14ac:dyDescent="0.35">
      <c r="B8" t="s">
        <v>78</v>
      </c>
      <c r="C8" s="33">
        <v>188</v>
      </c>
      <c r="D8" s="33">
        <v>88</v>
      </c>
      <c r="E8" s="33">
        <v>-13</v>
      </c>
      <c r="F8" s="33">
        <v>782</v>
      </c>
      <c r="G8" s="48"/>
      <c r="H8" s="48"/>
      <c r="I8" s="48"/>
      <c r="J8" s="48"/>
      <c r="K8" s="48"/>
    </row>
    <row r="9" spans="2:11" x14ac:dyDescent="0.35">
      <c r="B9" s="52" t="s">
        <v>76</v>
      </c>
      <c r="C9" s="51">
        <f>SUM(C5:C8)</f>
        <v>32344</v>
      </c>
      <c r="D9" s="51">
        <f t="shared" ref="D9:F9" si="2">SUM(D5:D8)</f>
        <v>33853</v>
      </c>
      <c r="E9" s="51">
        <f t="shared" si="2"/>
        <v>37277</v>
      </c>
      <c r="F9" s="51">
        <f t="shared" si="2"/>
        <v>39208</v>
      </c>
      <c r="G9" s="51">
        <f t="shared" ref="G9" si="3">SUM(G5:G8)</f>
        <v>41079.323381927978</v>
      </c>
      <c r="H9" s="51">
        <f>SUM(H5:H8)</f>
        <v>43136.392358929079</v>
      </c>
      <c r="I9" s="51">
        <f t="shared" ref="I9" si="4">SUM(I5:I8)</f>
        <v>45408.872994541976</v>
      </c>
      <c r="J9" s="51">
        <f t="shared" ref="J9" si="5">SUM(J5:J8)</f>
        <v>47931.167334033133</v>
      </c>
      <c r="K9" s="51">
        <f t="shared" ref="K9" si="6">SUM(K5:K8)</f>
        <v>50743.340377844797</v>
      </c>
    </row>
    <row r="10" spans="2:11" x14ac:dyDescent="0.35">
      <c r="B10" t="s">
        <v>80</v>
      </c>
      <c r="C10" s="33">
        <v>-22114</v>
      </c>
      <c r="D10" s="33">
        <v>-24477</v>
      </c>
      <c r="E10" s="33">
        <v>-26299</v>
      </c>
      <c r="F10" s="33">
        <v>-28176</v>
      </c>
      <c r="G10" s="34">
        <f>-G16</f>
        <v>-30840.600974194436</v>
      </c>
      <c r="H10" s="34">
        <f>-H16</f>
        <v>-33425.039381857918</v>
      </c>
      <c r="I10" s="34">
        <f>-I16</f>
        <v>-35920.981208203659</v>
      </c>
      <c r="J10" s="34">
        <f>-J16</f>
        <v>-38318.729560798914</v>
      </c>
      <c r="K10" s="34">
        <f>-K16</f>
        <v>-40606.825122300921</v>
      </c>
    </row>
    <row r="11" spans="2:11" x14ac:dyDescent="0.35">
      <c r="B11" s="55" t="s">
        <v>81</v>
      </c>
      <c r="C11" s="56">
        <f>SUM(C9:C10)</f>
        <v>10230</v>
      </c>
      <c r="D11" s="56">
        <f t="shared" ref="D11:F11" si="7">SUM(D9:D10)</f>
        <v>9376</v>
      </c>
      <c r="E11" s="56">
        <f t="shared" si="7"/>
        <v>10978</v>
      </c>
      <c r="F11" s="56">
        <f t="shared" si="7"/>
        <v>11032</v>
      </c>
      <c r="G11" s="56">
        <f>SUM(G9:G10)</f>
        <v>10238.722407733541</v>
      </c>
      <c r="H11" s="56">
        <f t="shared" ref="H11:K11" si="8">SUM(H9:H10)</f>
        <v>9711.3529770711611</v>
      </c>
      <c r="I11" s="56">
        <f t="shared" si="8"/>
        <v>9487.8917863383176</v>
      </c>
      <c r="J11" s="56">
        <f t="shared" si="8"/>
        <v>9612.4377732342182</v>
      </c>
      <c r="K11" s="56">
        <f t="shared" si="8"/>
        <v>10136.515255543876</v>
      </c>
    </row>
    <row r="13" spans="2:11" x14ac:dyDescent="0.35">
      <c r="B13" s="54" t="s">
        <v>82</v>
      </c>
      <c r="C13" s="53"/>
      <c r="D13" s="53"/>
      <c r="E13" s="53"/>
      <c r="F13" s="53"/>
      <c r="G13" s="53"/>
      <c r="H13" s="53"/>
      <c r="I13" s="53"/>
      <c r="J13" s="53"/>
      <c r="K13" s="53"/>
    </row>
    <row r="14" spans="2:11" x14ac:dyDescent="0.35">
      <c r="B14" t="s">
        <v>73</v>
      </c>
      <c r="C14" s="48"/>
      <c r="D14" s="47"/>
      <c r="E14" s="48"/>
      <c r="F14" s="48"/>
      <c r="G14" s="34">
        <f>F16</f>
        <v>28176</v>
      </c>
      <c r="H14" s="34">
        <f t="shared" ref="H14:K14" si="9">G16</f>
        <v>30840.600974194436</v>
      </c>
      <c r="I14" s="34">
        <f t="shared" si="9"/>
        <v>33425.039381857918</v>
      </c>
      <c r="J14" s="34">
        <f t="shared" si="9"/>
        <v>35920.981208203659</v>
      </c>
      <c r="K14" s="34">
        <f t="shared" si="9"/>
        <v>38318.729560798914</v>
      </c>
    </row>
    <row r="15" spans="2:11" x14ac:dyDescent="0.35">
      <c r="B15" t="s">
        <v>83</v>
      </c>
      <c r="C15" s="46"/>
      <c r="D15" s="46"/>
      <c r="E15" s="46"/>
      <c r="F15" s="46"/>
      <c r="G15" s="34">
        <f>(AVERAGE(F9:G9))*Assumptions!G36</f>
        <v>2664.6009741944381</v>
      </c>
      <c r="H15" s="34">
        <f>(AVERAGE(G9:H9))*Assumptions!H36</f>
        <v>2584.4384076634806</v>
      </c>
      <c r="I15" s="34">
        <f>(AVERAGE(H9:I9))*Assumptions!I36</f>
        <v>2495.9418263457392</v>
      </c>
      <c r="J15" s="34">
        <f>(AVERAGE(I9:J9))*Assumptions!J36</f>
        <v>2397.7483525952589</v>
      </c>
      <c r="K15" s="34">
        <f>(AVERAGE(J9:K9))*Assumptions!K36</f>
        <v>2288.0955615020071</v>
      </c>
    </row>
    <row r="16" spans="2:11" x14ac:dyDescent="0.35">
      <c r="B16" s="18" t="s">
        <v>84</v>
      </c>
      <c r="C16" s="57">
        <v>22114</v>
      </c>
      <c r="D16" s="57">
        <v>24477</v>
      </c>
      <c r="E16" s="57">
        <v>26299</v>
      </c>
      <c r="F16" s="57">
        <v>28176</v>
      </c>
      <c r="G16" s="35">
        <f>SUM(G14:G15)</f>
        <v>30840.600974194436</v>
      </c>
      <c r="H16" s="35">
        <f t="shared" ref="H16:K16" si="10">SUM(H14:H15)</f>
        <v>33425.039381857918</v>
      </c>
      <c r="I16" s="35">
        <f t="shared" si="10"/>
        <v>35920.981208203659</v>
      </c>
      <c r="J16" s="35">
        <f t="shared" si="10"/>
        <v>38318.729560798914</v>
      </c>
      <c r="K16" s="35">
        <f t="shared" si="10"/>
        <v>40606.825122300921</v>
      </c>
    </row>
    <row r="17" spans="2:11" x14ac:dyDescent="0.35">
      <c r="C17" s="33"/>
      <c r="D17" s="33"/>
      <c r="E17" s="33"/>
      <c r="F17" s="33"/>
    </row>
    <row r="19" spans="2:11" x14ac:dyDescent="0.35">
      <c r="B19" s="121" t="s">
        <v>100</v>
      </c>
      <c r="C19" s="121"/>
      <c r="D19" s="121"/>
      <c r="E19" s="121"/>
      <c r="F19" s="121"/>
      <c r="G19" s="121"/>
      <c r="H19" s="121"/>
      <c r="I19" s="121"/>
      <c r="J19" s="121"/>
      <c r="K19" s="121"/>
    </row>
    <row r="20" spans="2:11" x14ac:dyDescent="0.35">
      <c r="B20" t="s">
        <v>95</v>
      </c>
      <c r="C20" s="67"/>
      <c r="D20" s="67"/>
      <c r="E20" s="67"/>
      <c r="F20" s="67"/>
    </row>
    <row r="21" spans="2:11" x14ac:dyDescent="0.35">
      <c r="B21" t="s">
        <v>97</v>
      </c>
      <c r="C21" s="67"/>
      <c r="D21" s="67"/>
      <c r="E21" s="67"/>
      <c r="F21" s="67"/>
      <c r="G21" s="34">
        <f>F24</f>
        <v>11027</v>
      </c>
      <c r="H21" s="34">
        <f t="shared" ref="H21:K21" si="11">G24</f>
        <v>11027</v>
      </c>
      <c r="I21" s="34">
        <f t="shared" si="11"/>
        <v>11027</v>
      </c>
      <c r="J21" s="34">
        <f t="shared" si="11"/>
        <v>11027</v>
      </c>
      <c r="K21" s="34">
        <f t="shared" si="11"/>
        <v>11027</v>
      </c>
    </row>
    <row r="22" spans="2:11" x14ac:dyDescent="0.35">
      <c r="B22" t="s">
        <v>99</v>
      </c>
      <c r="C22" s="67"/>
      <c r="D22" s="67"/>
      <c r="E22" s="67"/>
      <c r="F22" s="67"/>
      <c r="G22" s="34">
        <f>G23</f>
        <v>1866</v>
      </c>
      <c r="H22" s="34">
        <f t="shared" ref="H22:K22" si="12">H23</f>
        <v>1866</v>
      </c>
      <c r="I22" s="34">
        <f t="shared" si="12"/>
        <v>1866</v>
      </c>
      <c r="J22" s="34">
        <f t="shared" si="12"/>
        <v>1866</v>
      </c>
      <c r="K22" s="34">
        <f t="shared" si="12"/>
        <v>1866</v>
      </c>
    </row>
    <row r="23" spans="2:11" x14ac:dyDescent="0.35">
      <c r="B23" t="s">
        <v>96</v>
      </c>
      <c r="C23" s="33">
        <v>1634</v>
      </c>
      <c r="D23" s="33">
        <v>1716</v>
      </c>
      <c r="E23" s="33">
        <v>1820</v>
      </c>
      <c r="F23" s="33">
        <v>1866</v>
      </c>
      <c r="G23" s="34">
        <f>F23</f>
        <v>1866</v>
      </c>
      <c r="H23" s="34">
        <f t="shared" ref="H23:K23" si="13">G23</f>
        <v>1866</v>
      </c>
      <c r="I23" s="34">
        <f t="shared" si="13"/>
        <v>1866</v>
      </c>
      <c r="J23" s="34">
        <f t="shared" si="13"/>
        <v>1866</v>
      </c>
      <c r="K23" s="34">
        <f t="shared" si="13"/>
        <v>1866</v>
      </c>
    </row>
    <row r="24" spans="2:11" x14ac:dyDescent="0.35">
      <c r="B24" s="64" t="s">
        <v>98</v>
      </c>
      <c r="C24" s="64"/>
      <c r="D24" s="64"/>
      <c r="E24" s="64"/>
      <c r="F24" s="65">
        <v>11027</v>
      </c>
      <c r="G24" s="66">
        <f>G21+G22-G23</f>
        <v>11027</v>
      </c>
      <c r="H24" s="66">
        <f t="shared" ref="H24:K24" si="14">H21+H22-H23</f>
        <v>11027</v>
      </c>
      <c r="I24" s="66">
        <f t="shared" si="14"/>
        <v>11027</v>
      </c>
      <c r="J24" s="66">
        <f t="shared" si="14"/>
        <v>11027</v>
      </c>
      <c r="K24" s="66">
        <f t="shared" si="14"/>
        <v>11027</v>
      </c>
    </row>
    <row r="29" spans="2:11" x14ac:dyDescent="0.35">
      <c r="B29" s="121" t="s">
        <v>41</v>
      </c>
      <c r="C29" s="121"/>
      <c r="D29" s="121"/>
      <c r="E29" s="121"/>
      <c r="F29" s="121"/>
      <c r="G29" s="121"/>
      <c r="H29" s="121"/>
      <c r="I29" s="121"/>
      <c r="J29" s="121"/>
      <c r="K29" s="121"/>
    </row>
    <row r="31" spans="2:11" x14ac:dyDescent="0.35">
      <c r="B31" t="s">
        <v>116</v>
      </c>
      <c r="G31" s="34">
        <f>F34</f>
        <v>176</v>
      </c>
      <c r="H31" s="34">
        <f>G43</f>
        <v>266</v>
      </c>
      <c r="I31" s="34">
        <f t="shared" ref="I31:K31" si="15">H43</f>
        <v>379</v>
      </c>
      <c r="J31" s="34">
        <f t="shared" si="15"/>
        <v>512</v>
      </c>
      <c r="K31" s="34">
        <f t="shared" si="15"/>
        <v>667</v>
      </c>
    </row>
    <row r="32" spans="2:11" x14ac:dyDescent="0.35">
      <c r="B32" t="s">
        <v>117</v>
      </c>
      <c r="G32" s="34">
        <v>200</v>
      </c>
      <c r="H32" s="34">
        <v>200</v>
      </c>
      <c r="I32" s="34">
        <v>200</v>
      </c>
      <c r="J32" s="34">
        <v>200</v>
      </c>
      <c r="K32" s="34">
        <v>200</v>
      </c>
    </row>
    <row r="33" spans="2:11" x14ac:dyDescent="0.35">
      <c r="G33" s="34"/>
      <c r="H33" s="34"/>
      <c r="I33" s="34"/>
      <c r="J33" s="34"/>
      <c r="K33" s="34"/>
    </row>
    <row r="34" spans="2:11" x14ac:dyDescent="0.35">
      <c r="B34" s="52" t="s">
        <v>118</v>
      </c>
      <c r="C34" s="18"/>
      <c r="D34" s="18"/>
      <c r="E34" s="18"/>
      <c r="F34" s="57">
        <v>176</v>
      </c>
      <c r="G34" s="35">
        <f>SUM(G31:G33)</f>
        <v>376</v>
      </c>
      <c r="H34" s="35">
        <f t="shared" ref="H34:K34" si="16">SUM(H31:H33)</f>
        <v>466</v>
      </c>
      <c r="I34" s="35">
        <f t="shared" si="16"/>
        <v>579</v>
      </c>
      <c r="J34" s="35">
        <f t="shared" si="16"/>
        <v>712</v>
      </c>
      <c r="K34" s="35">
        <f t="shared" si="16"/>
        <v>867</v>
      </c>
    </row>
    <row r="37" spans="2:11" x14ac:dyDescent="0.35">
      <c r="B37" t="s">
        <v>188</v>
      </c>
      <c r="G37" s="34">
        <v>70</v>
      </c>
      <c r="H37" s="34">
        <v>47</v>
      </c>
      <c r="I37" s="34">
        <v>27</v>
      </c>
      <c r="J37" s="34">
        <v>5</v>
      </c>
      <c r="K37" s="34" t="s">
        <v>119</v>
      </c>
    </row>
    <row r="38" spans="2:11" x14ac:dyDescent="0.35">
      <c r="B38" t="s">
        <v>189</v>
      </c>
      <c r="G38" s="34">
        <v>40</v>
      </c>
      <c r="H38" s="34">
        <v>40</v>
      </c>
      <c r="I38" s="34">
        <v>40</v>
      </c>
      <c r="J38" s="34">
        <v>40</v>
      </c>
      <c r="K38" s="34">
        <v>40</v>
      </c>
    </row>
    <row r="39" spans="2:11" x14ac:dyDescent="0.35">
      <c r="B39" s="52" t="s">
        <v>190</v>
      </c>
      <c r="C39" s="52"/>
      <c r="D39" s="52"/>
      <c r="E39" s="52"/>
      <c r="F39" s="52"/>
      <c r="G39" s="62">
        <f>SUM(G37:G38)</f>
        <v>110</v>
      </c>
      <c r="H39" s="62">
        <f t="shared" ref="H39:K39" si="17">SUM(H37:H38)</f>
        <v>87</v>
      </c>
      <c r="I39" s="62">
        <f t="shared" si="17"/>
        <v>67</v>
      </c>
      <c r="J39" s="62">
        <f t="shared" si="17"/>
        <v>45</v>
      </c>
      <c r="K39" s="62">
        <f t="shared" si="17"/>
        <v>40</v>
      </c>
    </row>
    <row r="43" spans="2:11" x14ac:dyDescent="0.35">
      <c r="B43" s="52" t="s">
        <v>191</v>
      </c>
      <c r="C43" s="52"/>
      <c r="D43" s="52"/>
      <c r="E43" s="52"/>
      <c r="F43" s="52"/>
      <c r="G43" s="62">
        <f>G34-G39</f>
        <v>266</v>
      </c>
      <c r="H43" s="62">
        <f t="shared" ref="H43:K43" si="18">H34-H39</f>
        <v>379</v>
      </c>
      <c r="I43" s="62">
        <f t="shared" si="18"/>
        <v>512</v>
      </c>
      <c r="J43" s="62">
        <f t="shared" si="18"/>
        <v>667</v>
      </c>
      <c r="K43" s="62">
        <f t="shared" si="18"/>
        <v>827</v>
      </c>
    </row>
  </sheetData>
  <mergeCells count="5">
    <mergeCell ref="B1:K1"/>
    <mergeCell ref="B2:K2"/>
    <mergeCell ref="B4:K4"/>
    <mergeCell ref="B19:K19"/>
    <mergeCell ref="B29:K29"/>
  </mergeCells>
  <pageMargins left="0.25" right="0.25" top="0.75" bottom="0.75" header="0.3" footer="0.3"/>
  <pageSetup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3DAF-0837-41F9-9E10-6EE6F1F3CF2E}">
  <sheetPr>
    <pageSetUpPr fitToPage="1"/>
  </sheetPr>
  <dimension ref="B1:M46"/>
  <sheetViews>
    <sheetView showGridLines="0" topLeftCell="A2" zoomScale="88" workbookViewId="0">
      <pane xSplit="1" ySplit="2" topLeftCell="B4" activePane="bottomRight" state="frozen"/>
      <selection activeCell="A2" sqref="A2"/>
      <selection pane="topRight" activeCell="B2" sqref="B2"/>
      <selection pane="bottomLeft" activeCell="A4" sqref="A4"/>
      <selection pane="bottomRight" activeCell="F18" sqref="F18"/>
    </sheetView>
  </sheetViews>
  <sheetFormatPr defaultRowHeight="14.5" x14ac:dyDescent="0.35"/>
  <cols>
    <col min="1" max="1" width="1.81640625" customWidth="1"/>
    <col min="2" max="2" width="19.54296875" customWidth="1"/>
    <col min="3" max="11" width="12.81640625" customWidth="1"/>
  </cols>
  <sheetData>
    <row r="1" spans="2:13" x14ac:dyDescent="0.35">
      <c r="B1" s="118" t="s">
        <v>109</v>
      </c>
      <c r="C1" s="118"/>
      <c r="D1" s="118"/>
      <c r="E1" s="118"/>
      <c r="F1" s="118"/>
      <c r="G1" s="118"/>
      <c r="H1" s="118"/>
      <c r="I1" s="118"/>
      <c r="J1" s="118"/>
      <c r="K1" s="118"/>
    </row>
    <row r="2" spans="2:13" x14ac:dyDescent="0.35">
      <c r="B2" s="120" t="s">
        <v>13</v>
      </c>
      <c r="C2" s="120"/>
      <c r="D2" s="120"/>
      <c r="E2" s="120"/>
      <c r="F2" s="120"/>
      <c r="G2" s="120"/>
      <c r="H2" s="120"/>
      <c r="I2" s="120"/>
      <c r="J2" s="120"/>
      <c r="K2" s="120"/>
    </row>
    <row r="3" spans="2:13" x14ac:dyDescent="0.35">
      <c r="B3" s="10" t="s">
        <v>1</v>
      </c>
      <c r="C3" s="9">
        <v>45016</v>
      </c>
      <c r="D3" s="9">
        <v>45382</v>
      </c>
      <c r="E3" s="9">
        <v>45747</v>
      </c>
      <c r="F3" s="9">
        <v>46112</v>
      </c>
      <c r="G3" s="16">
        <v>46477</v>
      </c>
      <c r="H3" s="16">
        <v>46843</v>
      </c>
      <c r="I3" s="16">
        <v>47208</v>
      </c>
      <c r="J3" s="16">
        <v>47573</v>
      </c>
      <c r="K3" s="16">
        <v>47938</v>
      </c>
    </row>
    <row r="5" spans="2:13" x14ac:dyDescent="0.35">
      <c r="B5" t="s">
        <v>113</v>
      </c>
      <c r="C5" s="72"/>
      <c r="D5" s="67"/>
      <c r="E5" s="67"/>
      <c r="F5" s="73"/>
      <c r="G5" s="34">
        <f>F8</f>
        <v>106878</v>
      </c>
      <c r="H5" s="34">
        <f t="shared" ref="H5:K5" si="0">G8</f>
        <v>117494.13043488996</v>
      </c>
      <c r="I5" s="34">
        <f t="shared" si="0"/>
        <v>125424.74422505128</v>
      </c>
      <c r="J5" s="34">
        <f t="shared" si="0"/>
        <v>134346.26356412235</v>
      </c>
      <c r="K5" s="34">
        <f t="shared" si="0"/>
        <v>141029.30057973543</v>
      </c>
    </row>
    <row r="6" spans="2:13" x14ac:dyDescent="0.35">
      <c r="B6" t="s">
        <v>115</v>
      </c>
      <c r="C6" s="72"/>
      <c r="D6" s="67"/>
      <c r="E6" s="67"/>
      <c r="F6" s="73"/>
      <c r="G6" s="34">
        <f>'P&amp;L'!G32</f>
        <v>58978.502416055169</v>
      </c>
      <c r="H6" s="34">
        <f>'P&amp;L'!H32</f>
        <v>66088.448251344322</v>
      </c>
      <c r="I6" s="34">
        <f>'P&amp;L'!I32</f>
        <v>74345.994492259037</v>
      </c>
      <c r="J6" s="34">
        <f>'P&amp;L'!J32</f>
        <v>83537.962695163791</v>
      </c>
      <c r="K6" s="34">
        <f>'P&amp;L'!K32</f>
        <v>93754.29829760085</v>
      </c>
    </row>
    <row r="7" spans="2:13" x14ac:dyDescent="0.35">
      <c r="B7" t="s">
        <v>114</v>
      </c>
      <c r="C7" s="67"/>
      <c r="D7" s="67"/>
      <c r="E7" s="67"/>
      <c r="F7" s="73"/>
      <c r="G7" s="34">
        <f>-G6*Assumptions!G65</f>
        <v>-48362.371981165234</v>
      </c>
      <c r="H7" s="34">
        <f>-H6*Assumptions!H65</f>
        <v>-58157.834461183003</v>
      </c>
      <c r="I7" s="34">
        <f>-I6*Assumptions!I65</f>
        <v>-65424.475153187952</v>
      </c>
      <c r="J7" s="34">
        <f>-J6*Assumptions!J65</f>
        <v>-76854.925679550695</v>
      </c>
      <c r="K7" s="34">
        <f>-K6*Assumptions!K65</f>
        <v>-86253.95443379278</v>
      </c>
    </row>
    <row r="8" spans="2:13" x14ac:dyDescent="0.35">
      <c r="B8" s="52" t="s">
        <v>110</v>
      </c>
      <c r="C8" s="74"/>
      <c r="D8" s="75"/>
      <c r="E8" s="75"/>
      <c r="F8" s="62">
        <f>'Balance Sheet'!F30</f>
        <v>106878</v>
      </c>
      <c r="G8" s="62">
        <f>SUM(G5:G7)</f>
        <v>117494.13043488996</v>
      </c>
      <c r="H8" s="62">
        <f t="shared" ref="H8:K8" si="1">SUM(H5:H7)</f>
        <v>125424.74422505128</v>
      </c>
      <c r="I8" s="62">
        <f t="shared" si="1"/>
        <v>134346.26356412235</v>
      </c>
      <c r="J8" s="62">
        <f t="shared" si="1"/>
        <v>141029.30057973543</v>
      </c>
      <c r="K8" s="62">
        <f t="shared" si="1"/>
        <v>148529.64444354351</v>
      </c>
    </row>
    <row r="10" spans="2:13" x14ac:dyDescent="0.35">
      <c r="C10" s="24"/>
    </row>
    <row r="15" spans="2:13" x14ac:dyDescent="0.35">
      <c r="J15" s="88"/>
      <c r="K15" s="88"/>
      <c r="L15" s="88"/>
      <c r="M15" s="88"/>
    </row>
    <row r="16" spans="2:13" x14ac:dyDescent="0.35">
      <c r="J16" s="89"/>
      <c r="K16" s="89"/>
      <c r="L16" s="89"/>
      <c r="M16" s="89"/>
    </row>
    <row r="17" spans="10:13" x14ac:dyDescent="0.35">
      <c r="J17" s="1"/>
      <c r="K17" s="2"/>
      <c r="L17" s="2"/>
      <c r="M17" s="2"/>
    </row>
    <row r="18" spans="10:13" x14ac:dyDescent="0.35">
      <c r="J18" s="1"/>
      <c r="K18" s="2"/>
      <c r="L18" s="2"/>
      <c r="M18" s="2"/>
    </row>
    <row r="19" spans="10:13" x14ac:dyDescent="0.35">
      <c r="J19" s="1"/>
      <c r="K19" s="2"/>
      <c r="L19" s="2"/>
      <c r="M19" s="2"/>
    </row>
    <row r="20" spans="10:13" x14ac:dyDescent="0.35">
      <c r="J20" s="1"/>
      <c r="K20" s="2"/>
      <c r="L20" s="2"/>
      <c r="M20" s="2"/>
    </row>
    <row r="21" spans="10:13" x14ac:dyDescent="0.35">
      <c r="J21" s="1"/>
      <c r="K21" s="2"/>
      <c r="L21" s="2"/>
      <c r="M21" s="2"/>
    </row>
    <row r="22" spans="10:13" x14ac:dyDescent="0.35">
      <c r="J22" s="1"/>
      <c r="K22" s="2"/>
      <c r="L22" s="2"/>
      <c r="M22" s="2"/>
    </row>
    <row r="23" spans="10:13" x14ac:dyDescent="0.35">
      <c r="J23" s="1"/>
      <c r="K23" s="2"/>
      <c r="L23" s="2"/>
      <c r="M23" s="2"/>
    </row>
    <row r="24" spans="10:13" x14ac:dyDescent="0.35">
      <c r="J24" s="7"/>
      <c r="K24" s="8"/>
      <c r="L24" s="8"/>
      <c r="M24" s="8"/>
    </row>
    <row r="25" spans="10:13" x14ac:dyDescent="0.35">
      <c r="J25" s="1"/>
      <c r="K25" s="2"/>
      <c r="L25" s="2"/>
      <c r="M25" s="2"/>
    </row>
    <row r="26" spans="10:13" x14ac:dyDescent="0.35">
      <c r="J26" s="1"/>
      <c r="K26" s="2"/>
      <c r="L26" s="2"/>
      <c r="M26" s="2"/>
    </row>
    <row r="27" spans="10:13" x14ac:dyDescent="0.35">
      <c r="J27" s="7"/>
      <c r="K27" s="8"/>
      <c r="L27" s="8"/>
      <c r="M27" s="8"/>
    </row>
    <row r="29" spans="10:13" x14ac:dyDescent="0.35">
      <c r="J29" s="89"/>
      <c r="K29" s="89"/>
      <c r="L29" s="89"/>
      <c r="M29" s="89"/>
    </row>
    <row r="30" spans="10:13" x14ac:dyDescent="0.35">
      <c r="J30" s="1"/>
      <c r="K30" s="2"/>
      <c r="L30" s="2"/>
      <c r="M30" s="2"/>
    </row>
    <row r="31" spans="10:13" x14ac:dyDescent="0.35">
      <c r="J31" s="1"/>
      <c r="K31" s="2"/>
      <c r="L31" s="2"/>
      <c r="M31" s="2"/>
    </row>
    <row r="32" spans="10:13" x14ac:dyDescent="0.35">
      <c r="J32" s="1"/>
      <c r="K32" s="2"/>
      <c r="L32" s="2"/>
      <c r="M32" s="2"/>
    </row>
    <row r="33" spans="10:13" x14ac:dyDescent="0.35">
      <c r="J33" s="1"/>
      <c r="K33" s="2"/>
      <c r="L33" s="2"/>
      <c r="M33" s="2"/>
    </row>
    <row r="34" spans="10:13" x14ac:dyDescent="0.35">
      <c r="J34" s="1"/>
      <c r="K34" s="2"/>
      <c r="L34" s="2"/>
      <c r="M34" s="2"/>
    </row>
    <row r="35" spans="10:13" x14ac:dyDescent="0.35">
      <c r="J35" s="1"/>
      <c r="K35" s="2"/>
      <c r="L35" s="2"/>
      <c r="M35" s="2"/>
    </row>
    <row r="36" spans="10:13" x14ac:dyDescent="0.35">
      <c r="J36" s="1"/>
      <c r="K36" s="2"/>
      <c r="L36" s="2"/>
      <c r="M36" s="2"/>
    </row>
    <row r="37" spans="10:13" x14ac:dyDescent="0.35">
      <c r="J37" s="7"/>
      <c r="K37" s="8"/>
      <c r="L37" s="8"/>
      <c r="M37" s="8"/>
    </row>
    <row r="39" spans="10:13" x14ac:dyDescent="0.35">
      <c r="J39" s="89"/>
      <c r="K39" s="89"/>
      <c r="L39" s="89"/>
      <c r="M39" s="89"/>
    </row>
    <row r="40" spans="10:13" x14ac:dyDescent="0.35">
      <c r="J40" s="1"/>
      <c r="K40" s="2"/>
      <c r="L40" s="2"/>
      <c r="M40" s="2"/>
    </row>
    <row r="41" spans="10:13" x14ac:dyDescent="0.35">
      <c r="J41" s="1"/>
      <c r="K41" s="2"/>
      <c r="L41" s="2"/>
      <c r="M41" s="2"/>
    </row>
    <row r="42" spans="10:13" x14ac:dyDescent="0.35">
      <c r="J42" s="1"/>
      <c r="K42" s="2"/>
      <c r="L42" s="2"/>
      <c r="M42" s="2"/>
    </row>
    <row r="43" spans="10:13" x14ac:dyDescent="0.35">
      <c r="J43" s="1"/>
      <c r="K43" s="2"/>
      <c r="L43" s="2"/>
      <c r="M43" s="2"/>
    </row>
    <row r="44" spans="10:13" x14ac:dyDescent="0.35">
      <c r="J44" s="1"/>
      <c r="K44" s="2"/>
      <c r="L44" s="2"/>
      <c r="M44" s="2"/>
    </row>
    <row r="45" spans="10:13" x14ac:dyDescent="0.35">
      <c r="J45" s="1"/>
      <c r="K45" s="2"/>
      <c r="L45" s="2"/>
      <c r="M45" s="2"/>
    </row>
    <row r="46" spans="10:13" x14ac:dyDescent="0.35">
      <c r="J46" s="3"/>
      <c r="K46" s="4"/>
      <c r="L46" s="4"/>
      <c r="M46" s="4"/>
    </row>
  </sheetData>
  <mergeCells count="2">
    <mergeCell ref="B1:K1"/>
    <mergeCell ref="B2:K2"/>
  </mergeCells>
  <pageMargins left="0.7" right="0.7" top="0.75" bottom="0.75" header="0.3" footer="0.3"/>
  <pageSetup scale="5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B9C4-5721-4BA7-AD01-0046DF6674B6}">
  <sheetPr>
    <tabColor theme="3" tint="0.39997558519241921"/>
    <pageSetUpPr fitToPage="1"/>
  </sheetPr>
  <dimension ref="B1:L41"/>
  <sheetViews>
    <sheetView showGridLines="0" tabSelected="1" zoomScale="73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B29" sqref="B29"/>
    </sheetView>
  </sheetViews>
  <sheetFormatPr defaultRowHeight="14.5" x14ac:dyDescent="0.35"/>
  <cols>
    <col min="1" max="1" width="1.81640625" customWidth="1"/>
    <col min="2" max="2" width="43.1796875" bestFit="1" customWidth="1"/>
    <col min="3" max="10" width="12.453125" customWidth="1"/>
    <col min="11" max="11" width="13.26953125" customWidth="1"/>
    <col min="12" max="12" width="12.08984375" customWidth="1"/>
  </cols>
  <sheetData>
    <row r="1" spans="2:12" x14ac:dyDescent="0.35">
      <c r="B1" s="111" t="s">
        <v>175</v>
      </c>
      <c r="C1" s="111"/>
      <c r="D1" s="111"/>
      <c r="E1" s="111"/>
      <c r="F1" s="111"/>
      <c r="G1" s="111"/>
      <c r="H1" s="111"/>
      <c r="I1" s="111"/>
      <c r="J1" s="111"/>
      <c r="K1" s="111"/>
      <c r="L1" s="100"/>
    </row>
    <row r="2" spans="2:12" x14ac:dyDescent="0.35">
      <c r="B2" s="10" t="s">
        <v>1</v>
      </c>
      <c r="C2" s="10"/>
      <c r="D2" s="9">
        <v>45382</v>
      </c>
      <c r="E2" s="9">
        <v>45747</v>
      </c>
      <c r="F2" s="9">
        <v>46112</v>
      </c>
      <c r="G2" s="16">
        <v>46477</v>
      </c>
      <c r="H2" s="16">
        <v>46843</v>
      </c>
      <c r="I2" s="16">
        <v>47208</v>
      </c>
      <c r="J2" s="16">
        <v>47573</v>
      </c>
      <c r="K2" s="16">
        <v>47938</v>
      </c>
    </row>
    <row r="3" spans="2:12" x14ac:dyDescent="0.35">
      <c r="B3" t="s">
        <v>120</v>
      </c>
      <c r="G3" s="34">
        <f>'P&amp;L'!G32</f>
        <v>58978.502416055169</v>
      </c>
      <c r="H3" s="34">
        <f>'P&amp;L'!H32</f>
        <v>66088.448251344322</v>
      </c>
      <c r="I3" s="34">
        <f>'P&amp;L'!I32</f>
        <v>74345.994492259037</v>
      </c>
      <c r="J3" s="34">
        <f>'P&amp;L'!J32</f>
        <v>83537.962695163791</v>
      </c>
      <c r="K3" s="34">
        <f>'P&amp;L'!K32</f>
        <v>93754.29829760085</v>
      </c>
    </row>
    <row r="4" spans="2:12" x14ac:dyDescent="0.35">
      <c r="B4" t="s">
        <v>174</v>
      </c>
      <c r="G4" s="34">
        <f>Assumptions!G29</f>
        <v>4640.6009741944381</v>
      </c>
      <c r="H4" s="34">
        <f>Assumptions!H29</f>
        <v>4537.4384076634806</v>
      </c>
      <c r="I4" s="34">
        <f>Assumptions!I29</f>
        <v>4428.9418263457392</v>
      </c>
      <c r="J4" s="34">
        <f>Assumptions!J29</f>
        <v>4308.7483525952593</v>
      </c>
      <c r="K4" s="34">
        <f>Assumptions!K29</f>
        <v>4194.0955615020066</v>
      </c>
    </row>
    <row r="5" spans="2:12" x14ac:dyDescent="0.35">
      <c r="B5" t="s">
        <v>173</v>
      </c>
      <c r="G5" s="34">
        <f>-'Asset schedule'!G6</f>
        <v>-2806.879074664047</v>
      </c>
      <c r="H5" s="34">
        <f>-'Asset schedule'!H6</f>
        <v>-3037.276966281569</v>
      </c>
      <c r="I5" s="34">
        <f>-'Asset schedule'!I6</f>
        <v>-3301.7730615334353</v>
      </c>
      <c r="J5" s="34">
        <f>-'Asset schedule'!J6</f>
        <v>-3605.8112143833414</v>
      </c>
      <c r="K5" s="34">
        <f>-'Asset schedule'!K6</f>
        <v>-3955.8752591462844</v>
      </c>
    </row>
    <row r="6" spans="2:12" x14ac:dyDescent="0.35">
      <c r="B6" t="s">
        <v>160</v>
      </c>
      <c r="G6" s="34">
        <f>'Cash Flow'!G26</f>
        <v>501.82900942920833</v>
      </c>
      <c r="H6" s="34">
        <f>'Cash Flow'!H26</f>
        <v>-103.24404340347428</v>
      </c>
      <c r="I6" s="34">
        <f>'Cash Flow'!I26</f>
        <v>-113.49193880462963</v>
      </c>
      <c r="J6" s="34">
        <f>'Cash Flow'!J26</f>
        <v>-125.37656058946368</v>
      </c>
      <c r="K6" s="34">
        <f>'Cash Flow'!K26</f>
        <v>-139.15920079749503</v>
      </c>
    </row>
    <row r="7" spans="2:12" x14ac:dyDescent="0.35">
      <c r="B7" t="s">
        <v>172</v>
      </c>
      <c r="G7" s="34">
        <f>'Cash Flow'!G16</f>
        <v>-940.53649038935691</v>
      </c>
      <c r="H7" s="34">
        <f>'Cash Flow'!H16</f>
        <v>-4970.0095546948669</v>
      </c>
      <c r="I7" s="34">
        <f>'Cash Flow'!I16</f>
        <v>-5745.2182956108572</v>
      </c>
      <c r="J7" s="34">
        <f>'Cash Flow'!J16</f>
        <v>-6306.4129845835851</v>
      </c>
      <c r="K7" s="34">
        <f>'Cash Flow'!K16</f>
        <v>-6922.4253432647201</v>
      </c>
    </row>
    <row r="8" spans="2:12" x14ac:dyDescent="0.35">
      <c r="B8" t="s">
        <v>171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</row>
    <row r="9" spans="2:12" x14ac:dyDescent="0.35">
      <c r="B9" s="52" t="s">
        <v>161</v>
      </c>
      <c r="C9" s="52"/>
      <c r="D9" s="52"/>
      <c r="E9" s="52"/>
      <c r="F9" s="52"/>
      <c r="G9" s="62">
        <f t="shared" ref="G9:K9" si="0">SUM(G3:G7)</f>
        <v>60373.516834625414</v>
      </c>
      <c r="H9" s="62">
        <f t="shared" si="0"/>
        <v>62515.356094627881</v>
      </c>
      <c r="I9" s="62">
        <f t="shared" si="0"/>
        <v>69614.453022655856</v>
      </c>
      <c r="J9" s="62">
        <f t="shared" si="0"/>
        <v>77809.110288202661</v>
      </c>
      <c r="K9" s="62">
        <f t="shared" si="0"/>
        <v>86930.934055894351</v>
      </c>
    </row>
    <row r="10" spans="2:12" x14ac:dyDescent="0.35">
      <c r="G10" s="34"/>
      <c r="H10" s="34"/>
      <c r="I10" s="34"/>
      <c r="J10" s="34"/>
      <c r="K10" s="34"/>
    </row>
    <row r="12" spans="2:12" x14ac:dyDescent="0.35">
      <c r="B12" s="14" t="s">
        <v>162</v>
      </c>
      <c r="C12" s="49">
        <v>6.3E-2</v>
      </c>
    </row>
    <row r="13" spans="2:12" x14ac:dyDescent="0.35">
      <c r="B13" t="s">
        <v>163</v>
      </c>
      <c r="C13">
        <v>0.9</v>
      </c>
      <c r="H13" s="14"/>
    </row>
    <row r="14" spans="2:12" x14ac:dyDescent="0.35">
      <c r="B14" t="s">
        <v>164</v>
      </c>
      <c r="C14" s="45">
        <v>0.06</v>
      </c>
      <c r="H14" s="14"/>
    </row>
    <row r="15" spans="2:12" x14ac:dyDescent="0.35">
      <c r="B15" t="s">
        <v>165</v>
      </c>
      <c r="C15" s="49">
        <f>C12+(C13*C14)</f>
        <v>0.11699999999999999</v>
      </c>
      <c r="D15" t="s">
        <v>193</v>
      </c>
    </row>
    <row r="17" spans="2:12" x14ac:dyDescent="0.35">
      <c r="B17" s="26" t="s">
        <v>166</v>
      </c>
      <c r="C17" s="99">
        <v>4.4999999999999998E-2</v>
      </c>
    </row>
    <row r="18" spans="2:12" x14ac:dyDescent="0.35">
      <c r="B18" s="26" t="s">
        <v>167</v>
      </c>
      <c r="C18" s="98">
        <f>K9*(1+C17)/(C15-C17)</f>
        <v>1261705.9178945778</v>
      </c>
    </row>
    <row r="20" spans="2:12" x14ac:dyDescent="0.35">
      <c r="B20" s="18" t="s">
        <v>168</v>
      </c>
      <c r="C20" s="18"/>
      <c r="D20" s="18"/>
      <c r="E20" s="18"/>
      <c r="F20" s="18"/>
      <c r="G20" s="35">
        <f>G9</f>
        <v>60373.516834625414</v>
      </c>
      <c r="H20" s="35">
        <f t="shared" ref="H20:K20" si="1">H9</f>
        <v>62515.356094627881</v>
      </c>
      <c r="I20" s="35">
        <f t="shared" si="1"/>
        <v>69614.453022655856</v>
      </c>
      <c r="J20" s="35">
        <f t="shared" si="1"/>
        <v>77809.110288202661</v>
      </c>
      <c r="K20" s="35">
        <f t="shared" si="1"/>
        <v>86930.934055894351</v>
      </c>
      <c r="L20" s="35">
        <f>C18</f>
        <v>1261705.9178945778</v>
      </c>
    </row>
    <row r="22" spans="2:12" x14ac:dyDescent="0.35">
      <c r="B22" s="26" t="s">
        <v>194</v>
      </c>
      <c r="C22" s="34">
        <f>NPV(C15,G20:L20)</f>
        <v>903670.17639319692</v>
      </c>
    </row>
    <row r="23" spans="2:12" x14ac:dyDescent="0.35">
      <c r="B23" t="s">
        <v>169</v>
      </c>
      <c r="C23">
        <v>362</v>
      </c>
    </row>
    <row r="24" spans="2:12" x14ac:dyDescent="0.35">
      <c r="B24" s="52" t="s">
        <v>170</v>
      </c>
      <c r="C24" s="103">
        <f>C22/C23</f>
        <v>2496.3264541248532</v>
      </c>
    </row>
    <row r="26" spans="2:12" x14ac:dyDescent="0.35">
      <c r="E26" s="112" t="s">
        <v>192</v>
      </c>
      <c r="F26" s="113"/>
      <c r="G26" s="113"/>
      <c r="H26" s="113"/>
      <c r="I26" s="114"/>
    </row>
    <row r="27" spans="2:12" x14ac:dyDescent="0.35">
      <c r="D27" s="107">
        <f>C24</f>
        <v>2496.3264541248532</v>
      </c>
      <c r="E27" s="108">
        <f>F27-0.5%</f>
        <v>3.5000000000000003E-2</v>
      </c>
      <c r="F27" s="108">
        <f>G27-0.5%</f>
        <v>0.04</v>
      </c>
      <c r="G27" s="106">
        <v>4.4999999999999998E-2</v>
      </c>
      <c r="H27" s="108">
        <f>G27+0.5%</f>
        <v>4.9999999999999996E-2</v>
      </c>
      <c r="I27" s="108">
        <f>H27+0.5%</f>
        <v>5.4999999999999993E-2</v>
      </c>
    </row>
    <row r="28" spans="2:12" x14ac:dyDescent="0.35">
      <c r="C28" s="115" t="s">
        <v>165</v>
      </c>
      <c r="D28" s="108">
        <f>D29-0.5%</f>
        <v>0.107</v>
      </c>
      <c r="E28" s="109">
        <f t="dataTable" ref="E28:I32" dt2D="1" dtr="1" r1="C17" r2="C15"/>
        <v>2596.7283306231948</v>
      </c>
      <c r="F28" s="109">
        <v>2746.4519704280242</v>
      </c>
      <c r="G28" s="109">
        <v>2920.324584394923</v>
      </c>
      <c r="H28" s="109">
        <v>3124.7011657244357</v>
      </c>
      <c r="I28" s="109">
        <v>3368.3809357711625</v>
      </c>
    </row>
    <row r="29" spans="2:12" x14ac:dyDescent="0.35">
      <c r="C29" s="116"/>
      <c r="D29" s="108">
        <f>D30-0.5%</f>
        <v>0.112</v>
      </c>
      <c r="E29" s="109">
        <v>2418.5103597528109</v>
      </c>
      <c r="F29" s="109">
        <v>2545.8866575796355</v>
      </c>
      <c r="G29" s="109">
        <v>2692.2743431418089</v>
      </c>
      <c r="H29" s="109">
        <v>2862.2729457301371</v>
      </c>
      <c r="I29" s="109">
        <v>3062.0958645620326</v>
      </c>
    </row>
    <row r="30" spans="2:12" x14ac:dyDescent="0.35">
      <c r="C30" s="116"/>
      <c r="D30" s="106">
        <v>0.11700000000000001</v>
      </c>
      <c r="E30" s="109">
        <v>2262.41388381864</v>
      </c>
      <c r="F30" s="109">
        <v>2371.7756050007656</v>
      </c>
      <c r="G30" s="110">
        <v>2496.3264541248532</v>
      </c>
      <c r="H30" s="109">
        <v>2639.4669822226847</v>
      </c>
      <c r="I30" s="109">
        <v>2805.6946922717793</v>
      </c>
    </row>
    <row r="31" spans="2:12" x14ac:dyDescent="0.35">
      <c r="C31" s="116"/>
      <c r="D31" s="108">
        <f>D30+0.5%</f>
        <v>0.12200000000000001</v>
      </c>
      <c r="E31" s="109">
        <v>2124.6087080993034</v>
      </c>
      <c r="F31" s="109">
        <v>2219.2625813937143</v>
      </c>
      <c r="G31" s="109">
        <v>2326.209165505582</v>
      </c>
      <c r="H31" s="109">
        <v>2448.0094418552089</v>
      </c>
      <c r="I31" s="109">
        <v>2587.9888639286596</v>
      </c>
    </row>
    <row r="32" spans="2:12" x14ac:dyDescent="0.35">
      <c r="C32" s="117"/>
      <c r="D32" s="108">
        <f>D31+0.5%</f>
        <v>0.127</v>
      </c>
      <c r="E32" s="109">
        <v>2002.097995234697</v>
      </c>
      <c r="F32" s="109">
        <v>2084.6084763863796</v>
      </c>
      <c r="G32" s="109">
        <v>2177.1812113370479</v>
      </c>
      <c r="H32" s="109">
        <v>2281.7763793981921</v>
      </c>
      <c r="I32" s="109">
        <v>2400.8986541344962</v>
      </c>
    </row>
    <row r="36" spans="4:9" x14ac:dyDescent="0.35">
      <c r="D36" s="98"/>
      <c r="E36" s="99"/>
      <c r="F36" s="99"/>
      <c r="G36" s="99"/>
      <c r="H36" s="99"/>
      <c r="I36" s="99"/>
    </row>
    <row r="37" spans="4:9" x14ac:dyDescent="0.35">
      <c r="D37" s="99"/>
      <c r="E37" s="105"/>
      <c r="F37" s="105"/>
      <c r="G37" s="105"/>
      <c r="H37" s="105"/>
      <c r="I37" s="105"/>
    </row>
    <row r="38" spans="4:9" x14ac:dyDescent="0.35">
      <c r="D38" s="99"/>
      <c r="E38" s="105"/>
      <c r="F38" s="105"/>
      <c r="G38" s="105"/>
      <c r="H38" s="105"/>
      <c r="I38" s="105"/>
    </row>
    <row r="39" spans="4:9" x14ac:dyDescent="0.35">
      <c r="D39" s="99"/>
      <c r="E39" s="105"/>
      <c r="F39" s="105"/>
      <c r="G39" s="105"/>
      <c r="H39" s="105"/>
      <c r="I39" s="105"/>
    </row>
    <row r="40" spans="4:9" x14ac:dyDescent="0.35">
      <c r="D40" s="99"/>
      <c r="E40" s="105"/>
      <c r="F40" s="105"/>
      <c r="G40" s="105"/>
      <c r="H40" s="105"/>
      <c r="I40" s="105"/>
    </row>
    <row r="41" spans="4:9" x14ac:dyDescent="0.35">
      <c r="D41" s="99"/>
      <c r="E41" s="105"/>
      <c r="F41" s="105"/>
      <c r="G41" s="105"/>
      <c r="H41" s="105"/>
      <c r="I41" s="105"/>
    </row>
  </sheetData>
  <mergeCells count="3">
    <mergeCell ref="B1:K1"/>
    <mergeCell ref="E26:I26"/>
    <mergeCell ref="C28:C32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</vt:lpstr>
      <vt:lpstr>Assumptions</vt:lpstr>
      <vt:lpstr>P&amp;L</vt:lpstr>
      <vt:lpstr>Balance Sheet</vt:lpstr>
      <vt:lpstr>Cash Flow</vt:lpstr>
      <vt:lpstr>Asset schedule</vt:lpstr>
      <vt:lpstr>Equity Schedule</vt:lpstr>
      <vt:lpstr>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dakshmakk5678@gmail.com</cp:lastModifiedBy>
  <cp:revision>0</cp:revision>
  <cp:lastPrinted>2026-07-05T16:25:14Z</cp:lastPrinted>
  <dcterms:created xsi:type="dcterms:W3CDTF">2026-06-13T06:48:31Z</dcterms:created>
  <dcterms:modified xsi:type="dcterms:W3CDTF">2026-07-05T16:35:25Z</dcterms:modified>
  <cp:category/>
  <cp:contentStatus/>
</cp:coreProperties>
</file>